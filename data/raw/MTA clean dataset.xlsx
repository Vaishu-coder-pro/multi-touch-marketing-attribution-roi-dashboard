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ila\Downloads\"/>
    </mc:Choice>
  </mc:AlternateContent>
  <xr:revisionPtr revIDLastSave="0" documentId="8_{976FDB5C-B44D-4075-ADE9-8F36FCE15105}" xr6:coauthVersionLast="47" xr6:coauthVersionMax="47" xr10:uidLastSave="{00000000-0000-0000-0000-000000000000}"/>
  <bookViews>
    <workbookView xWindow="-108" yWindow="-108" windowWidth="23256" windowHeight="12456" xr2:uid="{7E7B197A-8A8C-4FC2-9C41-B37E938644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09" i="1" l="1"/>
  <c r="N309" i="1"/>
  <c r="M309" i="1"/>
  <c r="L309" i="1"/>
  <c r="O308" i="1"/>
  <c r="N308" i="1"/>
  <c r="M308" i="1"/>
  <c r="L308" i="1"/>
  <c r="O307" i="1"/>
  <c r="N307" i="1"/>
  <c r="M307" i="1"/>
  <c r="L307" i="1"/>
  <c r="O306" i="1"/>
  <c r="M306" i="1"/>
  <c r="O305" i="1"/>
  <c r="N305" i="1"/>
  <c r="M305" i="1"/>
  <c r="O304" i="1"/>
  <c r="N304" i="1"/>
  <c r="M304" i="1"/>
  <c r="L304" i="1"/>
  <c r="O303" i="1"/>
  <c r="N303" i="1"/>
  <c r="M303" i="1"/>
  <c r="L303" i="1"/>
  <c r="O302" i="1"/>
  <c r="N302" i="1"/>
  <c r="M302" i="1"/>
  <c r="O301" i="1"/>
  <c r="N301" i="1"/>
  <c r="M301" i="1"/>
  <c r="L301" i="1"/>
  <c r="O300" i="1"/>
  <c r="N300" i="1"/>
  <c r="M300" i="1"/>
  <c r="L300" i="1"/>
  <c r="O299" i="1"/>
  <c r="N299" i="1"/>
  <c r="M299" i="1"/>
  <c r="L299" i="1"/>
  <c r="O298" i="1"/>
  <c r="N298" i="1"/>
  <c r="M298" i="1"/>
  <c r="O297" i="1"/>
  <c r="N297" i="1"/>
  <c r="M297" i="1"/>
  <c r="O296" i="1"/>
  <c r="N296" i="1"/>
  <c r="M296" i="1"/>
  <c r="O295" i="1"/>
  <c r="M295" i="1"/>
  <c r="O294" i="1"/>
  <c r="N294" i="1"/>
  <c r="M294" i="1"/>
  <c r="O293" i="1"/>
  <c r="N293" i="1"/>
  <c r="M293" i="1"/>
  <c r="L293" i="1"/>
  <c r="O292" i="1"/>
  <c r="N292" i="1"/>
  <c r="M292" i="1"/>
  <c r="L292" i="1"/>
  <c r="O291" i="1"/>
  <c r="N291" i="1"/>
  <c r="M291" i="1"/>
  <c r="O290" i="1"/>
  <c r="N290" i="1"/>
  <c r="M290" i="1"/>
  <c r="O289" i="1"/>
  <c r="N289" i="1"/>
  <c r="M289" i="1"/>
  <c r="O288" i="1"/>
  <c r="N288" i="1"/>
  <c r="M288" i="1"/>
  <c r="L288" i="1"/>
  <c r="O287" i="1"/>
  <c r="N287" i="1"/>
  <c r="M287" i="1"/>
  <c r="L287" i="1"/>
  <c r="O286" i="1"/>
  <c r="N286" i="1"/>
  <c r="M286" i="1"/>
  <c r="L286" i="1"/>
  <c r="O285" i="1"/>
  <c r="M285" i="1"/>
  <c r="O284" i="1"/>
  <c r="N284" i="1"/>
  <c r="M284" i="1"/>
  <c r="L284" i="1"/>
  <c r="O283" i="1"/>
  <c r="N283" i="1"/>
  <c r="M283" i="1"/>
  <c r="L283" i="1"/>
  <c r="O282" i="1"/>
  <c r="N282" i="1"/>
  <c r="M282" i="1"/>
  <c r="L282" i="1"/>
  <c r="O281" i="1"/>
  <c r="N281" i="1"/>
  <c r="M281" i="1"/>
  <c r="L281" i="1"/>
  <c r="O280" i="1"/>
  <c r="N280" i="1"/>
  <c r="M280" i="1"/>
  <c r="L280" i="1"/>
  <c r="O279" i="1"/>
  <c r="N279" i="1"/>
  <c r="M279" i="1"/>
  <c r="O278" i="1"/>
  <c r="N278" i="1"/>
  <c r="M278" i="1"/>
  <c r="L278" i="1"/>
  <c r="O277" i="1"/>
  <c r="N277" i="1"/>
  <c r="M277" i="1"/>
  <c r="L277" i="1"/>
  <c r="O276" i="1"/>
  <c r="N276" i="1"/>
  <c r="M276" i="1"/>
  <c r="L276" i="1"/>
  <c r="O275" i="1"/>
  <c r="N275" i="1"/>
  <c r="M275" i="1"/>
  <c r="L275" i="1"/>
  <c r="O274" i="1"/>
  <c r="N274" i="1"/>
  <c r="M274" i="1"/>
  <c r="L274" i="1"/>
  <c r="O273" i="1"/>
  <c r="N273" i="1"/>
  <c r="M273" i="1"/>
  <c r="L273" i="1"/>
  <c r="O272" i="1"/>
  <c r="N272" i="1"/>
  <c r="M272" i="1"/>
  <c r="L272" i="1"/>
  <c r="O271" i="1"/>
  <c r="N271" i="1"/>
  <c r="M271" i="1"/>
  <c r="L271" i="1"/>
  <c r="O270" i="1"/>
  <c r="N270" i="1"/>
  <c r="M270" i="1"/>
  <c r="L270" i="1"/>
  <c r="O269" i="1"/>
  <c r="N269" i="1"/>
  <c r="M269" i="1"/>
  <c r="L269" i="1"/>
  <c r="O268" i="1"/>
  <c r="N268" i="1"/>
  <c r="M268" i="1"/>
  <c r="O267" i="1"/>
  <c r="N267" i="1"/>
  <c r="M267" i="1"/>
  <c r="L267" i="1"/>
  <c r="O266" i="1"/>
  <c r="N266" i="1"/>
  <c r="M266" i="1"/>
  <c r="L266" i="1"/>
  <c r="O265" i="1"/>
  <c r="N265" i="1"/>
  <c r="M265" i="1"/>
  <c r="L265" i="1"/>
  <c r="O264" i="1"/>
  <c r="N264" i="1"/>
  <c r="M264" i="1"/>
  <c r="L264" i="1"/>
  <c r="O263" i="1"/>
  <c r="N263" i="1"/>
  <c r="M263" i="1"/>
  <c r="L263" i="1"/>
  <c r="O262" i="1"/>
  <c r="N262" i="1"/>
  <c r="M262" i="1"/>
  <c r="L262" i="1"/>
  <c r="O261" i="1"/>
  <c r="N261" i="1"/>
  <c r="M261" i="1"/>
  <c r="L261" i="1"/>
  <c r="O260" i="1"/>
  <c r="N260" i="1"/>
  <c r="M260" i="1"/>
  <c r="L260" i="1"/>
  <c r="O259" i="1"/>
  <c r="N259" i="1"/>
  <c r="M259" i="1"/>
  <c r="L259" i="1"/>
  <c r="O258" i="1"/>
  <c r="N258" i="1"/>
  <c r="M258" i="1"/>
  <c r="L258" i="1"/>
  <c r="O257" i="1"/>
  <c r="N257" i="1"/>
  <c r="M257" i="1"/>
  <c r="L257" i="1"/>
  <c r="O256" i="1"/>
  <c r="N256" i="1"/>
  <c r="M256" i="1"/>
  <c r="L256" i="1"/>
  <c r="O255" i="1"/>
  <c r="N255" i="1"/>
  <c r="M255" i="1"/>
  <c r="L255" i="1"/>
  <c r="O254" i="1"/>
  <c r="N254" i="1"/>
  <c r="M254" i="1"/>
  <c r="L254" i="1"/>
  <c r="O253" i="1"/>
  <c r="N253" i="1"/>
  <c r="M253" i="1"/>
  <c r="L253" i="1"/>
  <c r="O252" i="1"/>
  <c r="N252" i="1"/>
  <c r="M252" i="1"/>
  <c r="L252" i="1"/>
  <c r="O251" i="1"/>
  <c r="N251" i="1"/>
  <c r="M251" i="1"/>
  <c r="L251" i="1"/>
  <c r="O250" i="1"/>
  <c r="N250" i="1"/>
  <c r="M250" i="1"/>
  <c r="L250" i="1"/>
  <c r="O249" i="1"/>
  <c r="N249" i="1"/>
  <c r="M249" i="1"/>
  <c r="O248" i="1"/>
  <c r="N248" i="1"/>
  <c r="M248" i="1"/>
  <c r="L248" i="1"/>
  <c r="O247" i="1"/>
  <c r="N247" i="1"/>
  <c r="M247" i="1"/>
  <c r="L247" i="1"/>
  <c r="O246" i="1"/>
  <c r="N246" i="1"/>
  <c r="M246" i="1"/>
  <c r="L246" i="1"/>
  <c r="O245" i="1"/>
  <c r="N245" i="1"/>
  <c r="M245" i="1"/>
  <c r="L245" i="1"/>
  <c r="O244" i="1"/>
  <c r="N244" i="1"/>
  <c r="M244" i="1"/>
  <c r="L244" i="1"/>
  <c r="O243" i="1"/>
  <c r="N243" i="1"/>
  <c r="M243" i="1"/>
  <c r="L243" i="1"/>
  <c r="O242" i="1"/>
  <c r="N242" i="1"/>
  <c r="M242" i="1"/>
  <c r="L242" i="1"/>
  <c r="O241" i="1"/>
  <c r="N241" i="1"/>
  <c r="M241" i="1"/>
  <c r="L241" i="1"/>
  <c r="O240" i="1"/>
  <c r="N240" i="1"/>
  <c r="M240" i="1"/>
  <c r="L240" i="1"/>
  <c r="O239" i="1"/>
  <c r="N239" i="1"/>
  <c r="M239" i="1"/>
  <c r="L239" i="1"/>
  <c r="O238" i="1"/>
  <c r="N238" i="1"/>
  <c r="M238" i="1"/>
  <c r="L238" i="1"/>
  <c r="O237" i="1"/>
  <c r="N237" i="1"/>
  <c r="M237" i="1"/>
  <c r="L237" i="1"/>
  <c r="O236" i="1"/>
  <c r="N236" i="1"/>
  <c r="M236" i="1"/>
  <c r="L236" i="1"/>
  <c r="O235" i="1"/>
  <c r="N235" i="1"/>
  <c r="M235" i="1"/>
  <c r="L235" i="1"/>
  <c r="O234" i="1"/>
  <c r="N234" i="1"/>
  <c r="M234" i="1"/>
  <c r="L234" i="1"/>
  <c r="O233" i="1"/>
  <c r="N233" i="1"/>
  <c r="M233" i="1"/>
  <c r="L233" i="1"/>
  <c r="O232" i="1"/>
  <c r="N232" i="1"/>
  <c r="M232" i="1"/>
  <c r="L232" i="1"/>
  <c r="O231" i="1"/>
  <c r="N231" i="1"/>
  <c r="M231" i="1"/>
  <c r="L231" i="1"/>
  <c r="O230" i="1"/>
  <c r="N230" i="1"/>
  <c r="M230" i="1"/>
  <c r="L230" i="1"/>
  <c r="O229" i="1"/>
  <c r="N229" i="1"/>
  <c r="M229" i="1"/>
  <c r="L229" i="1"/>
  <c r="O228" i="1"/>
  <c r="N228" i="1"/>
  <c r="M228" i="1"/>
  <c r="L228" i="1"/>
  <c r="O227" i="1"/>
  <c r="N227" i="1"/>
  <c r="M227" i="1"/>
  <c r="L227" i="1"/>
  <c r="O226" i="1"/>
  <c r="N226" i="1"/>
  <c r="M226" i="1"/>
  <c r="L226" i="1"/>
  <c r="O225" i="1"/>
  <c r="N225" i="1"/>
  <c r="M225" i="1"/>
  <c r="L225" i="1"/>
  <c r="O224" i="1"/>
  <c r="N224" i="1"/>
  <c r="M224" i="1"/>
  <c r="L224" i="1"/>
  <c r="O223" i="1"/>
  <c r="N223" i="1"/>
  <c r="M223" i="1"/>
  <c r="L223" i="1"/>
  <c r="O222" i="1"/>
  <c r="N222" i="1"/>
  <c r="M222" i="1"/>
  <c r="L222" i="1"/>
  <c r="O221" i="1"/>
  <c r="N221" i="1"/>
  <c r="M221" i="1"/>
  <c r="L221" i="1"/>
  <c r="O220" i="1"/>
  <c r="N220" i="1"/>
  <c r="M220" i="1"/>
  <c r="L220" i="1"/>
  <c r="O219" i="1"/>
  <c r="N219" i="1"/>
  <c r="M219" i="1"/>
  <c r="L219" i="1"/>
  <c r="O218" i="1"/>
  <c r="N218" i="1"/>
  <c r="M218" i="1"/>
  <c r="L218" i="1"/>
  <c r="O217" i="1"/>
  <c r="N217" i="1"/>
  <c r="M217" i="1"/>
  <c r="L217" i="1"/>
  <c r="O216" i="1"/>
  <c r="N216" i="1"/>
  <c r="M216" i="1"/>
  <c r="L216" i="1"/>
  <c r="O215" i="1"/>
  <c r="N215" i="1"/>
  <c r="M215" i="1"/>
  <c r="L215" i="1"/>
  <c r="O214" i="1"/>
  <c r="N214" i="1"/>
  <c r="M214" i="1"/>
  <c r="L214" i="1"/>
  <c r="O213" i="1"/>
  <c r="N213" i="1"/>
  <c r="M213" i="1"/>
  <c r="L213" i="1"/>
  <c r="O212" i="1"/>
  <c r="N212" i="1"/>
  <c r="M212" i="1"/>
  <c r="L212" i="1"/>
  <c r="O211" i="1"/>
  <c r="N211" i="1"/>
  <c r="M211" i="1"/>
  <c r="L211" i="1"/>
  <c r="R210" i="1"/>
  <c r="O210" i="1"/>
  <c r="N210" i="1"/>
  <c r="M210" i="1"/>
  <c r="L210" i="1"/>
  <c r="O209" i="1"/>
  <c r="N209" i="1"/>
  <c r="M209" i="1"/>
  <c r="L209" i="1"/>
  <c r="O208" i="1"/>
  <c r="N208" i="1"/>
  <c r="M208" i="1"/>
  <c r="L208" i="1"/>
  <c r="O207" i="1"/>
  <c r="N207" i="1"/>
  <c r="M207" i="1"/>
  <c r="L207" i="1"/>
  <c r="O206" i="1"/>
  <c r="N206" i="1"/>
  <c r="M206" i="1"/>
  <c r="L206" i="1"/>
  <c r="O205" i="1"/>
  <c r="N205" i="1"/>
  <c r="M205" i="1"/>
  <c r="L205" i="1"/>
  <c r="O204" i="1"/>
  <c r="N204" i="1"/>
  <c r="M204" i="1"/>
  <c r="L204" i="1"/>
  <c r="O203" i="1"/>
  <c r="N203" i="1"/>
  <c r="M203" i="1"/>
  <c r="L203" i="1"/>
  <c r="O202" i="1"/>
  <c r="N202" i="1"/>
  <c r="M202" i="1"/>
  <c r="L202" i="1"/>
  <c r="O201" i="1"/>
  <c r="N201" i="1"/>
  <c r="M201" i="1"/>
  <c r="L201" i="1"/>
  <c r="O200" i="1"/>
  <c r="N200" i="1"/>
  <c r="M200" i="1"/>
  <c r="L200" i="1"/>
  <c r="O199" i="1"/>
  <c r="N199" i="1"/>
  <c r="M199" i="1"/>
  <c r="L199" i="1"/>
  <c r="O198" i="1"/>
  <c r="N198" i="1"/>
  <c r="M198" i="1"/>
  <c r="L198" i="1"/>
  <c r="O197" i="1"/>
  <c r="N197" i="1"/>
  <c r="M197" i="1"/>
  <c r="L197" i="1"/>
  <c r="O196" i="1"/>
  <c r="N196" i="1"/>
  <c r="M196" i="1"/>
  <c r="L196" i="1"/>
  <c r="O195" i="1"/>
  <c r="N195" i="1"/>
  <c r="M195" i="1"/>
  <c r="L195" i="1"/>
  <c r="O194" i="1"/>
  <c r="N194" i="1"/>
  <c r="M194" i="1"/>
  <c r="L194" i="1"/>
  <c r="O193" i="1"/>
  <c r="N193" i="1"/>
  <c r="M193" i="1"/>
  <c r="L193" i="1"/>
  <c r="O192" i="1"/>
  <c r="N192" i="1"/>
  <c r="M192" i="1"/>
  <c r="L192" i="1"/>
  <c r="O191" i="1"/>
  <c r="N191" i="1"/>
  <c r="M191" i="1"/>
  <c r="L191" i="1"/>
  <c r="O190" i="1"/>
  <c r="N190" i="1"/>
  <c r="M190" i="1"/>
  <c r="L190" i="1"/>
  <c r="O189" i="1"/>
  <c r="N189" i="1"/>
  <c r="M189" i="1"/>
  <c r="L189" i="1"/>
  <c r="O188" i="1"/>
  <c r="N188" i="1"/>
  <c r="M188" i="1"/>
  <c r="L188" i="1"/>
  <c r="O187" i="1"/>
  <c r="N187" i="1"/>
  <c r="M187" i="1"/>
  <c r="L187" i="1"/>
  <c r="O186" i="1"/>
  <c r="N186" i="1"/>
  <c r="M186" i="1"/>
  <c r="L186" i="1"/>
  <c r="O185" i="1"/>
  <c r="N185" i="1"/>
  <c r="M185" i="1"/>
  <c r="L185" i="1"/>
  <c r="O184" i="1"/>
  <c r="N184" i="1"/>
  <c r="M184" i="1"/>
  <c r="L184" i="1"/>
  <c r="O183" i="1"/>
  <c r="N183" i="1"/>
  <c r="M183" i="1"/>
  <c r="L183" i="1"/>
  <c r="O182" i="1"/>
  <c r="N182" i="1"/>
  <c r="M182" i="1"/>
  <c r="L182" i="1"/>
  <c r="O181" i="1"/>
  <c r="N181" i="1"/>
  <c r="M181" i="1"/>
  <c r="L181" i="1"/>
  <c r="O180" i="1"/>
  <c r="N180" i="1"/>
  <c r="M180" i="1"/>
  <c r="L180" i="1"/>
  <c r="O179" i="1"/>
  <c r="N179" i="1"/>
  <c r="M179" i="1"/>
  <c r="L179" i="1"/>
  <c r="O178" i="1"/>
  <c r="N178" i="1"/>
  <c r="M178" i="1"/>
  <c r="L178" i="1"/>
  <c r="O177" i="1"/>
  <c r="N177" i="1"/>
  <c r="M177" i="1"/>
  <c r="L177" i="1"/>
  <c r="O176" i="1"/>
  <c r="N176" i="1"/>
  <c r="M176" i="1"/>
  <c r="L176" i="1"/>
  <c r="O175" i="1"/>
  <c r="N175" i="1"/>
  <c r="M175" i="1"/>
  <c r="L175" i="1"/>
  <c r="O174" i="1"/>
  <c r="N174" i="1"/>
  <c r="M174" i="1"/>
  <c r="L174" i="1"/>
  <c r="O173" i="1"/>
  <c r="N173" i="1"/>
  <c r="M173" i="1"/>
  <c r="L173" i="1"/>
  <c r="O172" i="1"/>
  <c r="N172" i="1"/>
  <c r="M172" i="1"/>
  <c r="L172" i="1"/>
  <c r="O171" i="1"/>
  <c r="N171" i="1"/>
  <c r="M171" i="1"/>
  <c r="L171" i="1"/>
  <c r="O170" i="1"/>
  <c r="N170" i="1"/>
  <c r="M170" i="1"/>
  <c r="L170" i="1"/>
  <c r="O169" i="1"/>
  <c r="N169" i="1"/>
  <c r="M169" i="1"/>
  <c r="L169" i="1"/>
  <c r="O168" i="1"/>
  <c r="N168" i="1"/>
  <c r="M168" i="1"/>
  <c r="L168" i="1"/>
  <c r="O167" i="1"/>
  <c r="N167" i="1"/>
  <c r="M167" i="1"/>
  <c r="L167" i="1"/>
  <c r="O166" i="1"/>
  <c r="N166" i="1"/>
  <c r="M166" i="1"/>
  <c r="L166" i="1"/>
  <c r="O165" i="1"/>
  <c r="N165" i="1"/>
  <c r="M165" i="1"/>
  <c r="L165" i="1"/>
  <c r="O164" i="1"/>
  <c r="N164" i="1"/>
  <c r="M164" i="1"/>
  <c r="L164" i="1"/>
  <c r="O163" i="1"/>
  <c r="N163" i="1"/>
  <c r="M163" i="1"/>
  <c r="L163" i="1"/>
  <c r="O162" i="1"/>
  <c r="N162" i="1"/>
  <c r="M162" i="1"/>
  <c r="L162" i="1"/>
  <c r="O161" i="1"/>
  <c r="N161" i="1"/>
  <c r="M161" i="1"/>
  <c r="L161" i="1"/>
  <c r="O160" i="1"/>
  <c r="N160" i="1"/>
  <c r="M160" i="1"/>
  <c r="L160" i="1"/>
  <c r="O159" i="1"/>
  <c r="N159" i="1"/>
  <c r="M159" i="1"/>
  <c r="L159" i="1"/>
  <c r="O158" i="1"/>
  <c r="N158" i="1"/>
  <c r="M158" i="1"/>
  <c r="L158" i="1"/>
  <c r="O157" i="1"/>
  <c r="N157" i="1"/>
  <c r="M157" i="1"/>
  <c r="L157" i="1"/>
  <c r="O156" i="1"/>
  <c r="N156" i="1"/>
  <c r="M156" i="1"/>
  <c r="L156" i="1"/>
  <c r="O155" i="1"/>
  <c r="N155" i="1"/>
  <c r="M155" i="1"/>
  <c r="L155" i="1"/>
  <c r="O154" i="1"/>
  <c r="N154" i="1"/>
  <c r="M154" i="1"/>
  <c r="L154" i="1"/>
  <c r="O153" i="1"/>
  <c r="N153" i="1"/>
  <c r="M153" i="1"/>
  <c r="L153" i="1"/>
  <c r="O152" i="1"/>
  <c r="N152" i="1"/>
  <c r="M152" i="1"/>
  <c r="L152" i="1"/>
  <c r="O151" i="1"/>
  <c r="N151" i="1"/>
  <c r="M151" i="1"/>
  <c r="L151" i="1"/>
  <c r="O150" i="1"/>
  <c r="N150" i="1"/>
  <c r="M150" i="1"/>
  <c r="L150" i="1"/>
  <c r="O149" i="1"/>
  <c r="N149" i="1"/>
  <c r="M149" i="1"/>
  <c r="L149" i="1"/>
  <c r="O148" i="1"/>
  <c r="N148" i="1"/>
  <c r="M148" i="1"/>
  <c r="L148" i="1"/>
  <c r="O147" i="1"/>
  <c r="N147" i="1"/>
  <c r="M147" i="1"/>
  <c r="L147" i="1"/>
  <c r="O146" i="1"/>
  <c r="N146" i="1"/>
  <c r="M146" i="1"/>
  <c r="L146" i="1"/>
  <c r="O145" i="1"/>
  <c r="N145" i="1"/>
  <c r="M145" i="1"/>
  <c r="L145" i="1"/>
  <c r="O144" i="1"/>
  <c r="N144" i="1"/>
  <c r="M144" i="1"/>
  <c r="L144" i="1"/>
  <c r="O143" i="1"/>
  <c r="N143" i="1"/>
  <c r="M143" i="1"/>
  <c r="L143" i="1"/>
  <c r="O142" i="1"/>
  <c r="N142" i="1"/>
  <c r="M142" i="1"/>
  <c r="L142" i="1"/>
  <c r="O141" i="1"/>
  <c r="N141" i="1"/>
  <c r="M141" i="1"/>
  <c r="L141" i="1"/>
  <c r="O140" i="1"/>
  <c r="N140" i="1"/>
  <c r="M140" i="1"/>
  <c r="L140" i="1"/>
  <c r="O139" i="1"/>
  <c r="N139" i="1"/>
  <c r="M139" i="1"/>
  <c r="L139" i="1"/>
  <c r="O138" i="1"/>
  <c r="N138" i="1"/>
  <c r="M138" i="1"/>
  <c r="L138" i="1"/>
  <c r="O137" i="1"/>
  <c r="N137" i="1"/>
  <c r="M137" i="1"/>
  <c r="L137" i="1"/>
  <c r="O136" i="1"/>
  <c r="N136" i="1"/>
  <c r="M136" i="1"/>
  <c r="L136" i="1"/>
  <c r="O135" i="1"/>
  <c r="N135" i="1"/>
  <c r="M135" i="1"/>
  <c r="L135" i="1"/>
  <c r="O134" i="1"/>
  <c r="N134" i="1"/>
  <c r="M134" i="1"/>
  <c r="L134" i="1"/>
  <c r="O133" i="1"/>
  <c r="N133" i="1"/>
  <c r="M133" i="1"/>
  <c r="L133" i="1"/>
  <c r="O132" i="1"/>
  <c r="N132" i="1"/>
  <c r="M132" i="1"/>
  <c r="L132" i="1"/>
  <c r="O131" i="1"/>
  <c r="N131" i="1"/>
  <c r="M131" i="1"/>
  <c r="L131" i="1"/>
  <c r="O130" i="1"/>
  <c r="N130" i="1"/>
  <c r="M130" i="1"/>
  <c r="L130" i="1"/>
  <c r="O129" i="1"/>
  <c r="N129" i="1"/>
  <c r="M129" i="1"/>
  <c r="L129" i="1"/>
  <c r="O128" i="1"/>
  <c r="N128" i="1"/>
  <c r="M128" i="1"/>
  <c r="L128" i="1"/>
  <c r="O127" i="1"/>
  <c r="N127" i="1"/>
  <c r="M127" i="1"/>
  <c r="L127" i="1"/>
  <c r="O126" i="1"/>
  <c r="N126" i="1"/>
  <c r="M126" i="1"/>
  <c r="L126" i="1"/>
  <c r="O125" i="1"/>
  <c r="N125" i="1"/>
  <c r="M125" i="1"/>
  <c r="L125" i="1"/>
  <c r="O124" i="1"/>
  <c r="N124" i="1"/>
  <c r="M124" i="1"/>
  <c r="L124" i="1"/>
  <c r="O123" i="1"/>
  <c r="N123" i="1"/>
  <c r="M123" i="1"/>
  <c r="L123" i="1"/>
  <c r="O122" i="1"/>
  <c r="N122" i="1"/>
  <c r="M122" i="1"/>
  <c r="L122" i="1"/>
  <c r="O121" i="1"/>
  <c r="N121" i="1"/>
  <c r="M121" i="1"/>
  <c r="L121" i="1"/>
  <c r="O120" i="1"/>
  <c r="N120" i="1"/>
  <c r="M120" i="1"/>
  <c r="L120" i="1"/>
  <c r="O119" i="1"/>
  <c r="N119" i="1"/>
  <c r="M119" i="1"/>
  <c r="L119" i="1"/>
  <c r="O118" i="1"/>
  <c r="N118" i="1"/>
  <c r="M118" i="1"/>
  <c r="L118" i="1"/>
  <c r="O117" i="1"/>
  <c r="N117" i="1"/>
  <c r="M117" i="1"/>
  <c r="O116" i="1"/>
  <c r="N116" i="1"/>
  <c r="M116" i="1"/>
  <c r="L116" i="1"/>
  <c r="O115" i="1"/>
  <c r="N115" i="1"/>
  <c r="M115" i="1"/>
  <c r="L115" i="1"/>
  <c r="O114" i="1"/>
  <c r="N114" i="1"/>
  <c r="M114" i="1"/>
  <c r="L114" i="1"/>
  <c r="O113" i="1"/>
  <c r="N113" i="1"/>
  <c r="M113" i="1"/>
  <c r="L113" i="1"/>
  <c r="O112" i="1"/>
  <c r="N112" i="1"/>
  <c r="M112" i="1"/>
  <c r="L112" i="1"/>
  <c r="O111" i="1"/>
  <c r="N111" i="1"/>
  <c r="M111" i="1"/>
  <c r="L111" i="1"/>
  <c r="O110" i="1"/>
  <c r="N110" i="1"/>
  <c r="M110" i="1"/>
  <c r="L110" i="1"/>
  <c r="O109" i="1"/>
  <c r="N109" i="1"/>
  <c r="M109" i="1"/>
  <c r="L109" i="1"/>
  <c r="O108" i="1"/>
  <c r="N108" i="1"/>
  <c r="M108" i="1"/>
  <c r="L108" i="1"/>
  <c r="O107" i="1"/>
  <c r="N107" i="1"/>
  <c r="M107" i="1"/>
  <c r="L107" i="1"/>
  <c r="O106" i="1"/>
  <c r="N106" i="1"/>
  <c r="M106" i="1"/>
  <c r="L106" i="1"/>
  <c r="O105" i="1"/>
  <c r="N105" i="1"/>
  <c r="M105" i="1"/>
  <c r="L105" i="1"/>
  <c r="O104" i="1"/>
  <c r="N104" i="1"/>
  <c r="M104" i="1"/>
  <c r="L104" i="1"/>
  <c r="O103" i="1"/>
  <c r="N103" i="1"/>
  <c r="M103" i="1"/>
  <c r="L103" i="1"/>
  <c r="O102" i="1"/>
  <c r="N102" i="1"/>
  <c r="M102" i="1"/>
  <c r="L102" i="1"/>
  <c r="O101" i="1"/>
  <c r="N101" i="1"/>
  <c r="M101" i="1"/>
  <c r="L101" i="1"/>
  <c r="O100" i="1"/>
  <c r="N100" i="1"/>
  <c r="M100" i="1"/>
  <c r="L100" i="1"/>
  <c r="O99" i="1"/>
  <c r="N99" i="1"/>
  <c r="M99" i="1"/>
  <c r="L99" i="1"/>
  <c r="O98" i="1"/>
  <c r="N98" i="1"/>
  <c r="M98" i="1"/>
  <c r="L98" i="1"/>
  <c r="O97" i="1"/>
  <c r="N97" i="1"/>
  <c r="M97" i="1"/>
  <c r="L97" i="1"/>
  <c r="O96" i="1"/>
  <c r="N96" i="1"/>
  <c r="M96" i="1"/>
  <c r="L96" i="1"/>
  <c r="O95" i="1"/>
  <c r="N95" i="1"/>
  <c r="M95" i="1"/>
  <c r="L95" i="1"/>
  <c r="O94" i="1"/>
  <c r="N94" i="1"/>
  <c r="M94" i="1"/>
  <c r="L94" i="1"/>
  <c r="O93" i="1"/>
  <c r="N93" i="1"/>
  <c r="M93" i="1"/>
  <c r="L93" i="1"/>
  <c r="O92" i="1"/>
  <c r="N92" i="1"/>
  <c r="M92" i="1"/>
  <c r="L92" i="1"/>
  <c r="O91" i="1"/>
  <c r="N91" i="1"/>
  <c r="M91" i="1"/>
  <c r="L91" i="1"/>
  <c r="O90" i="1"/>
  <c r="N90" i="1"/>
  <c r="M90" i="1"/>
  <c r="L90" i="1"/>
  <c r="O89" i="1"/>
  <c r="N89" i="1"/>
  <c r="M89" i="1"/>
  <c r="L89" i="1"/>
  <c r="O88" i="1"/>
  <c r="N88" i="1"/>
  <c r="M88" i="1"/>
  <c r="L88" i="1"/>
  <c r="O87" i="1"/>
  <c r="N87" i="1"/>
  <c r="M87" i="1"/>
  <c r="L87" i="1"/>
  <c r="O86" i="1"/>
  <c r="N86" i="1"/>
  <c r="M86" i="1"/>
  <c r="L86" i="1"/>
  <c r="O85" i="1"/>
  <c r="N85" i="1"/>
  <c r="M85" i="1"/>
  <c r="L85" i="1"/>
  <c r="O84" i="1"/>
  <c r="N84" i="1"/>
  <c r="M84" i="1"/>
  <c r="O83" i="1"/>
  <c r="N83" i="1"/>
  <c r="M83" i="1"/>
  <c r="L83" i="1"/>
  <c r="O82" i="1"/>
  <c r="N82" i="1"/>
  <c r="M82" i="1"/>
  <c r="L82" i="1"/>
  <c r="O81" i="1"/>
  <c r="N81" i="1"/>
  <c r="M81" i="1"/>
  <c r="L81" i="1"/>
  <c r="O80" i="1"/>
  <c r="N80" i="1"/>
  <c r="M80" i="1"/>
  <c r="L80" i="1"/>
  <c r="O79" i="1"/>
  <c r="N79" i="1"/>
  <c r="M79" i="1"/>
  <c r="L79" i="1"/>
  <c r="O78" i="1"/>
  <c r="N78" i="1"/>
  <c r="M78" i="1"/>
  <c r="L78" i="1"/>
  <c r="O77" i="1"/>
  <c r="N77" i="1"/>
  <c r="M77" i="1"/>
  <c r="L77" i="1"/>
  <c r="O76" i="1"/>
  <c r="N76" i="1"/>
  <c r="M76" i="1"/>
  <c r="L76" i="1"/>
  <c r="O75" i="1"/>
  <c r="N75" i="1"/>
  <c r="M75" i="1"/>
  <c r="L75" i="1"/>
  <c r="O74" i="1"/>
  <c r="N74" i="1"/>
  <c r="M74" i="1"/>
  <c r="L74" i="1"/>
  <c r="O73" i="1"/>
  <c r="N73" i="1"/>
  <c r="M73" i="1"/>
  <c r="L73" i="1"/>
  <c r="O72" i="1"/>
  <c r="N72" i="1"/>
  <c r="M72" i="1"/>
  <c r="L72" i="1"/>
  <c r="O71" i="1"/>
  <c r="N71" i="1"/>
  <c r="M71" i="1"/>
  <c r="L71" i="1"/>
  <c r="O70" i="1"/>
  <c r="N70" i="1"/>
  <c r="M70" i="1"/>
  <c r="L70" i="1"/>
  <c r="O69" i="1"/>
  <c r="N69" i="1"/>
  <c r="M69" i="1"/>
  <c r="L69" i="1"/>
  <c r="O68" i="1"/>
  <c r="N68" i="1"/>
  <c r="M68" i="1"/>
  <c r="L68" i="1"/>
  <c r="O67" i="1"/>
  <c r="N67" i="1"/>
  <c r="M67" i="1"/>
  <c r="L67" i="1"/>
  <c r="O66" i="1"/>
  <c r="N66" i="1"/>
  <c r="M66" i="1"/>
  <c r="L66" i="1"/>
  <c r="O65" i="1"/>
  <c r="N65" i="1"/>
  <c r="M65" i="1"/>
  <c r="L65" i="1"/>
  <c r="O64" i="1"/>
  <c r="N64" i="1"/>
  <c r="M64" i="1"/>
  <c r="L64" i="1"/>
  <c r="O63" i="1"/>
  <c r="N63" i="1"/>
  <c r="M63" i="1"/>
  <c r="L63" i="1"/>
  <c r="O62" i="1"/>
  <c r="N62" i="1"/>
  <c r="M62" i="1"/>
  <c r="L62" i="1"/>
  <c r="O61" i="1"/>
  <c r="N61" i="1"/>
  <c r="M61" i="1"/>
  <c r="L61" i="1"/>
  <c r="O60" i="1"/>
  <c r="N60" i="1"/>
  <c r="M60" i="1"/>
  <c r="L60" i="1"/>
  <c r="O59" i="1"/>
  <c r="N59" i="1"/>
  <c r="M59" i="1"/>
  <c r="L59" i="1"/>
  <c r="O58" i="1"/>
  <c r="N58" i="1"/>
  <c r="M58" i="1"/>
  <c r="L58" i="1"/>
  <c r="O57" i="1"/>
  <c r="N57" i="1"/>
  <c r="M57" i="1"/>
  <c r="L57" i="1"/>
  <c r="O56" i="1"/>
  <c r="N56" i="1"/>
  <c r="M56" i="1"/>
  <c r="L56" i="1"/>
  <c r="O55" i="1"/>
  <c r="N55" i="1"/>
  <c r="M55" i="1"/>
  <c r="L55" i="1"/>
  <c r="O54" i="1"/>
  <c r="N54" i="1"/>
  <c r="M54" i="1"/>
  <c r="L54" i="1"/>
  <c r="O53" i="1"/>
  <c r="N53" i="1"/>
  <c r="M53" i="1"/>
  <c r="L53" i="1"/>
  <c r="O52" i="1"/>
  <c r="N52" i="1"/>
  <c r="M52" i="1"/>
  <c r="L52" i="1"/>
  <c r="O51" i="1"/>
  <c r="N51" i="1"/>
  <c r="M51" i="1"/>
  <c r="L51" i="1"/>
  <c r="O50" i="1"/>
  <c r="N50" i="1"/>
  <c r="M50" i="1"/>
  <c r="L50" i="1"/>
  <c r="O49" i="1"/>
  <c r="N49" i="1"/>
  <c r="M49" i="1"/>
  <c r="L49" i="1"/>
  <c r="O48" i="1"/>
  <c r="N48" i="1"/>
  <c r="M48" i="1"/>
  <c r="L48" i="1"/>
  <c r="O47" i="1"/>
  <c r="N47" i="1"/>
  <c r="M47" i="1"/>
  <c r="L47" i="1"/>
  <c r="O46" i="1"/>
  <c r="N46" i="1"/>
  <c r="M46" i="1"/>
  <c r="L46" i="1"/>
  <c r="O45" i="1"/>
  <c r="N45" i="1"/>
  <c r="M45" i="1"/>
  <c r="L45" i="1"/>
  <c r="O44" i="1"/>
  <c r="N44" i="1"/>
  <c r="M44" i="1"/>
  <c r="L44" i="1"/>
  <c r="O43" i="1"/>
  <c r="N43" i="1"/>
  <c r="M43" i="1"/>
  <c r="L43" i="1"/>
  <c r="O42" i="1"/>
  <c r="N42" i="1"/>
  <c r="M42" i="1"/>
  <c r="L42" i="1"/>
  <c r="O41" i="1"/>
  <c r="N41" i="1"/>
  <c r="M41" i="1"/>
  <c r="L41" i="1"/>
  <c r="O40" i="1"/>
  <c r="N40" i="1"/>
  <c r="M40" i="1"/>
  <c r="L40" i="1"/>
  <c r="O39" i="1"/>
  <c r="N39" i="1"/>
  <c r="M39" i="1"/>
  <c r="L39" i="1"/>
  <c r="O38" i="1"/>
  <c r="N38" i="1"/>
  <c r="M38" i="1"/>
  <c r="L38" i="1"/>
  <c r="O37" i="1"/>
  <c r="N37" i="1"/>
  <c r="M37" i="1"/>
  <c r="L37" i="1"/>
  <c r="O36" i="1"/>
  <c r="N36" i="1"/>
  <c r="M36" i="1"/>
  <c r="L36" i="1"/>
  <c r="O35" i="1"/>
  <c r="N35" i="1"/>
  <c r="M35" i="1"/>
  <c r="L35" i="1"/>
  <c r="O34" i="1"/>
  <c r="N34" i="1"/>
  <c r="M34" i="1"/>
  <c r="L34" i="1"/>
  <c r="O33" i="1"/>
  <c r="N33" i="1"/>
  <c r="M33" i="1"/>
  <c r="L33" i="1"/>
  <c r="O32" i="1"/>
  <c r="N32" i="1"/>
  <c r="M32" i="1"/>
  <c r="L32" i="1"/>
  <c r="O31" i="1"/>
  <c r="N31" i="1"/>
  <c r="M31" i="1"/>
  <c r="L31" i="1"/>
  <c r="O30" i="1"/>
  <c r="N30" i="1"/>
  <c r="M30" i="1"/>
  <c r="L30" i="1"/>
  <c r="O29" i="1"/>
  <c r="N29" i="1"/>
  <c r="M29" i="1"/>
  <c r="L29" i="1"/>
  <c r="O28" i="1"/>
  <c r="N28" i="1"/>
  <c r="M28" i="1"/>
  <c r="L28" i="1"/>
  <c r="O27" i="1"/>
  <c r="N27" i="1"/>
  <c r="M27" i="1"/>
  <c r="L27" i="1"/>
  <c r="O26" i="1"/>
  <c r="N26" i="1"/>
  <c r="M26" i="1"/>
  <c r="L26" i="1"/>
  <c r="O25" i="1"/>
  <c r="N25" i="1"/>
  <c r="M25" i="1"/>
  <c r="L25" i="1"/>
  <c r="O24" i="1"/>
  <c r="N24" i="1"/>
  <c r="M24" i="1"/>
  <c r="L24" i="1"/>
  <c r="O23" i="1"/>
  <c r="N23" i="1"/>
  <c r="M23" i="1"/>
  <c r="L23" i="1"/>
  <c r="O22" i="1"/>
  <c r="N22" i="1"/>
  <c r="M22" i="1"/>
  <c r="L22" i="1"/>
  <c r="P21" i="1"/>
  <c r="O21" i="1"/>
  <c r="N21" i="1"/>
  <c r="M21" i="1"/>
  <c r="L21" i="1"/>
  <c r="P20" i="1"/>
  <c r="O20" i="1"/>
  <c r="M20" i="1"/>
  <c r="O19" i="1"/>
  <c r="N19" i="1"/>
  <c r="M19" i="1"/>
  <c r="O18" i="1"/>
  <c r="N18" i="1"/>
  <c r="M18" i="1"/>
  <c r="L18" i="1"/>
  <c r="P17" i="1"/>
  <c r="O17" i="1"/>
  <c r="N17" i="1"/>
  <c r="M17" i="1"/>
  <c r="L17" i="1"/>
  <c r="P16" i="1"/>
  <c r="O16" i="1"/>
  <c r="N16" i="1"/>
  <c r="M16" i="1"/>
  <c r="L16" i="1"/>
  <c r="S15" i="1" a="1"/>
  <c r="P15" i="1"/>
  <c r="O15" i="1"/>
  <c r="N15" i="1"/>
  <c r="M15" i="1"/>
  <c r="O14" i="1"/>
  <c r="N14" i="1"/>
  <c r="M14" i="1"/>
  <c r="L14" i="1"/>
  <c r="O13" i="1"/>
  <c r="N13" i="1"/>
  <c r="M13" i="1"/>
  <c r="L13" i="1"/>
  <c r="P12" i="1"/>
  <c r="O12" i="1"/>
  <c r="N12" i="1"/>
  <c r="M12" i="1"/>
  <c r="L12" i="1"/>
  <c r="O11" i="1"/>
  <c r="N11" i="1"/>
  <c r="M11" i="1"/>
  <c r="L11" i="1"/>
  <c r="P10" i="1"/>
  <c r="O10" i="1"/>
  <c r="N10" i="1"/>
  <c r="M10" i="1"/>
  <c r="L10" i="1"/>
  <c r="Q9" i="1"/>
  <c r="P9" i="1"/>
  <c r="O9" i="1"/>
  <c r="N9" i="1"/>
  <c r="M9" i="1"/>
  <c r="L9" i="1"/>
  <c r="P8" i="1"/>
  <c r="O8" i="1"/>
  <c r="N8" i="1"/>
  <c r="M8" i="1"/>
  <c r="L8" i="1"/>
  <c r="P7" i="1"/>
  <c r="O7" i="1"/>
  <c r="N7" i="1"/>
  <c r="M7" i="1"/>
  <c r="L7" i="1"/>
  <c r="P6" i="1"/>
  <c r="O6" i="1"/>
  <c r="N6" i="1"/>
  <c r="M6" i="1"/>
  <c r="L6" i="1"/>
  <c r="P5" i="1"/>
  <c r="O5" i="1"/>
  <c r="N5" i="1"/>
  <c r="M5" i="1"/>
  <c r="L5" i="1"/>
  <c r="P4" i="1"/>
  <c r="O4" i="1"/>
  <c r="N4" i="1"/>
  <c r="M4" i="1"/>
  <c r="L4" i="1"/>
  <c r="P3" i="1"/>
  <c r="O3" i="1"/>
  <c r="N3" i="1"/>
  <c r="M3" i="1"/>
  <c r="L3" i="1"/>
  <c r="P2" i="1"/>
  <c r="O2" i="1"/>
  <c r="N2" i="1"/>
  <c r="M2" i="1"/>
  <c r="L2" i="1"/>
  <c r="S20" i="1" l="1"/>
  <c r="S19" i="1"/>
  <c r="S16" i="1"/>
  <c r="S14" i="1"/>
  <c r="S13" i="1"/>
  <c r="S12" i="1"/>
  <c r="S11" i="1"/>
  <c r="S10" i="1"/>
  <c r="S9" i="1"/>
  <c r="S8" i="1"/>
  <c r="S7" i="1"/>
  <c r="S6" i="1"/>
  <c r="S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<sst xmlns="http://schemas.openxmlformats.org/spreadsheetml/2006/main" count="633" uniqueCount="31">
  <si>
    <t>id</t>
  </si>
  <si>
    <t>c_date</t>
  </si>
  <si>
    <t>campaign_name</t>
  </si>
  <si>
    <t>category</t>
  </si>
  <si>
    <t>campaign_id</t>
  </si>
  <si>
    <t>impressions</t>
  </si>
  <si>
    <t>mark_spent</t>
  </si>
  <si>
    <t>clicks</t>
  </si>
  <si>
    <t>leads</t>
  </si>
  <si>
    <t>orders</t>
  </si>
  <si>
    <t>revenue</t>
  </si>
  <si>
    <t>CAC</t>
  </si>
  <si>
    <t>ROI</t>
  </si>
  <si>
    <t>Conversion_rate</t>
  </si>
  <si>
    <t>CTR</t>
  </si>
  <si>
    <t>ROAS</t>
  </si>
  <si>
    <t>facebook_tier1</t>
  </si>
  <si>
    <t>social</t>
  </si>
  <si>
    <t>facebOOK_tier2</t>
  </si>
  <si>
    <t>google_hot</t>
  </si>
  <si>
    <t>search</t>
  </si>
  <si>
    <t>google_wide</t>
  </si>
  <si>
    <t>youtube_blogger</t>
  </si>
  <si>
    <t>influencer</t>
  </si>
  <si>
    <t>instagram_tier1</t>
  </si>
  <si>
    <t>instagram_tier2</t>
  </si>
  <si>
    <t>facebook_retargeting</t>
  </si>
  <si>
    <t>facebook_lal</t>
  </si>
  <si>
    <t>instagram_blogger</t>
  </si>
  <si>
    <t>banner_partner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</si>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</sst>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2A3AD-099F-4519-8088-16575290BE5C}">
  <dimension ref="A1:S309"/>
  <sheetViews>
    <sheetView tabSelected="1" workbookViewId="0">
      <selection sqref="A1:XFD1048576"/>
    </sheetView>
  </sheetViews>
  <sheetFormatPr defaultRowHeight="14.4" x14ac:dyDescent="0.3"/>
  <cols>
    <col min="1" max="1" width="4.109375" bestFit="1" customWidth="1"/>
    <col min="2" max="2" width="10.6640625" bestFit="1" customWidth="1"/>
    <col min="3" max="3" width="18.77734375" bestFit="1" customWidth="1"/>
    <col min="4" max="4" width="9.109375" bestFit="1" customWidth="1"/>
    <col min="5" max="5" width="11.21875" bestFit="1" customWidth="1"/>
    <col min="6" max="6" width="10.77734375" bestFit="1" customWidth="1"/>
    <col min="7" max="7" width="10.6640625" bestFit="1" customWidth="1"/>
    <col min="8" max="8" width="6.21875" bestFit="1" customWidth="1"/>
    <col min="9" max="9" width="5.21875" bestFit="1" customWidth="1"/>
    <col min="10" max="10" width="6.33203125" bestFit="1" customWidth="1"/>
    <col min="11" max="11" width="8.33203125" bestFit="1" customWidth="1"/>
    <col min="14" max="14" width="15.21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9" x14ac:dyDescent="0.3">
      <c r="A2">
        <v>1</v>
      </c>
      <c r="B2" s="1">
        <v>44228</v>
      </c>
      <c r="C2" t="s">
        <v>16</v>
      </c>
      <c r="D2" t="s">
        <v>17</v>
      </c>
      <c r="E2">
        <v>349043</v>
      </c>
      <c r="F2">
        <v>148263</v>
      </c>
      <c r="G2">
        <v>7307.37</v>
      </c>
      <c r="H2">
        <v>1210</v>
      </c>
      <c r="I2">
        <v>13</v>
      </c>
      <c r="J2">
        <v>1</v>
      </c>
      <c r="K2">
        <v>4981</v>
      </c>
      <c r="L2">
        <f>G2/J2</f>
        <v>7307.37</v>
      </c>
      <c r="M2">
        <f>(K2/G2)*100</f>
        <v>68.16405902534018</v>
      </c>
      <c r="N2">
        <f>(J2/I2)*100</f>
        <v>7.6923076923076925</v>
      </c>
      <c r="O2">
        <f>H2/F2*100</f>
        <v>0.81611730505925273</v>
      </c>
      <c r="P2">
        <f>K2/L3</f>
        <v>0.91673721794824592</v>
      </c>
    </row>
    <row r="3" spans="1:19" x14ac:dyDescent="0.3">
      <c r="A3">
        <v>2</v>
      </c>
      <c r="B3" s="1">
        <v>44228</v>
      </c>
      <c r="C3" t="s">
        <v>18</v>
      </c>
      <c r="D3" t="s">
        <v>17</v>
      </c>
      <c r="E3">
        <v>348934</v>
      </c>
      <c r="F3">
        <v>220688</v>
      </c>
      <c r="G3">
        <v>16300.2</v>
      </c>
      <c r="H3">
        <v>1640</v>
      </c>
      <c r="I3">
        <v>48</v>
      </c>
      <c r="J3">
        <v>3</v>
      </c>
      <c r="K3">
        <v>14962</v>
      </c>
      <c r="L3">
        <f t="shared" ref="L3:L66" si="0">G3/J3</f>
        <v>5433.4000000000005</v>
      </c>
      <c r="M3">
        <f t="shared" ref="M3:M66" si="1">(K3/G3)*100</f>
        <v>91.790284781781821</v>
      </c>
      <c r="N3">
        <f t="shared" ref="N3:N66" si="2">(J3/I3)*100</f>
        <v>6.25</v>
      </c>
      <c r="O3">
        <f t="shared" ref="O3:O66" si="3">H3/F3*100</f>
        <v>0.74313057347930112</v>
      </c>
      <c r="P3">
        <f t="shared" ref="P3:P21" si="4">K3/L4</f>
        <v>2.8654052397732492</v>
      </c>
    </row>
    <row r="4" spans="1:19" x14ac:dyDescent="0.3">
      <c r="A4">
        <v>3</v>
      </c>
      <c r="B4" s="1">
        <v>44228</v>
      </c>
      <c r="C4" t="s">
        <v>19</v>
      </c>
      <c r="D4" t="s">
        <v>20</v>
      </c>
      <c r="E4">
        <v>89459845</v>
      </c>
      <c r="F4">
        <v>22850</v>
      </c>
      <c r="G4">
        <v>5221.6000000000004</v>
      </c>
      <c r="H4">
        <v>457</v>
      </c>
      <c r="I4">
        <v>9</v>
      </c>
      <c r="J4">
        <v>1</v>
      </c>
      <c r="K4">
        <v>7981</v>
      </c>
      <c r="L4">
        <f t="shared" si="0"/>
        <v>5221.6000000000004</v>
      </c>
      <c r="M4">
        <f t="shared" si="1"/>
        <v>152.84587099739542</v>
      </c>
      <c r="N4">
        <f t="shared" si="2"/>
        <v>11.111111111111111</v>
      </c>
      <c r="O4">
        <f t="shared" si="3"/>
        <v>2</v>
      </c>
      <c r="P4">
        <f t="shared" si="4"/>
        <v>1.3220142454861685</v>
      </c>
      <c r="S4" t="s">
        <v>15</v>
      </c>
    </row>
    <row r="5" spans="1:19" x14ac:dyDescent="0.3">
      <c r="A5">
        <v>4</v>
      </c>
      <c r="B5" s="1">
        <v>44228</v>
      </c>
      <c r="C5" t="s">
        <v>21</v>
      </c>
      <c r="D5" t="s">
        <v>20</v>
      </c>
      <c r="E5">
        <v>127823</v>
      </c>
      <c r="F5">
        <v>147038</v>
      </c>
      <c r="G5">
        <v>6037</v>
      </c>
      <c r="H5">
        <v>1196</v>
      </c>
      <c r="I5">
        <v>24</v>
      </c>
      <c r="J5">
        <v>1</v>
      </c>
      <c r="K5">
        <v>2114</v>
      </c>
      <c r="L5">
        <f t="shared" si="0"/>
        <v>6037</v>
      </c>
      <c r="M5">
        <f t="shared" si="1"/>
        <v>35.017392744740768</v>
      </c>
      <c r="N5">
        <f t="shared" si="2"/>
        <v>4.1666666666666661</v>
      </c>
      <c r="O5">
        <f t="shared" si="3"/>
        <v>0.81339517675702877</v>
      </c>
      <c r="P5">
        <f t="shared" si="4"/>
        <v>0.70555566680684323</v>
      </c>
      <c r="S5">
        <f>K2/L2</f>
        <v>0.68164059025340173</v>
      </c>
    </row>
    <row r="6" spans="1:19" x14ac:dyDescent="0.3">
      <c r="A6">
        <v>5</v>
      </c>
      <c r="B6" s="1">
        <v>44228</v>
      </c>
      <c r="C6" t="s">
        <v>22</v>
      </c>
      <c r="D6" t="s">
        <v>23</v>
      </c>
      <c r="E6">
        <v>10934</v>
      </c>
      <c r="F6">
        <v>225800</v>
      </c>
      <c r="G6">
        <v>29962.2</v>
      </c>
      <c r="H6">
        <v>2258</v>
      </c>
      <c r="I6">
        <v>49</v>
      </c>
      <c r="J6">
        <v>10</v>
      </c>
      <c r="K6">
        <v>84490</v>
      </c>
      <c r="L6">
        <f t="shared" si="0"/>
        <v>2996.2200000000003</v>
      </c>
      <c r="M6">
        <f t="shared" si="1"/>
        <v>281.98863901849666</v>
      </c>
      <c r="N6">
        <f t="shared" si="2"/>
        <v>20.408163265306122</v>
      </c>
      <c r="O6">
        <f t="shared" si="3"/>
        <v>1</v>
      </c>
      <c r="P6">
        <f t="shared" si="4"/>
        <v>26.569154539670294</v>
      </c>
      <c r="S6">
        <f t="shared" ref="S6:S20" si="5">K3/L3</f>
        <v>2.7537085434534543</v>
      </c>
    </row>
    <row r="7" spans="1:19" x14ac:dyDescent="0.3">
      <c r="A7">
        <v>6</v>
      </c>
      <c r="B7" s="1">
        <v>44228</v>
      </c>
      <c r="C7" t="s">
        <v>24</v>
      </c>
      <c r="D7" t="s">
        <v>17</v>
      </c>
      <c r="E7">
        <v>9034945</v>
      </c>
      <c r="F7">
        <v>444857</v>
      </c>
      <c r="G7">
        <v>9540.01</v>
      </c>
      <c r="H7">
        <v>1342</v>
      </c>
      <c r="I7">
        <v>27</v>
      </c>
      <c r="J7">
        <v>3</v>
      </c>
      <c r="K7">
        <v>17943</v>
      </c>
      <c r="L7">
        <f t="shared" si="0"/>
        <v>3180.0033333333336</v>
      </c>
      <c r="M7">
        <f t="shared" si="1"/>
        <v>188.08156385580307</v>
      </c>
      <c r="N7">
        <f t="shared" si="2"/>
        <v>11.111111111111111</v>
      </c>
      <c r="O7">
        <f t="shared" si="3"/>
        <v>0.30166997484584934</v>
      </c>
      <c r="P7">
        <f t="shared" si="4"/>
        <v>4.9173723587930604</v>
      </c>
      <c r="S7">
        <f t="shared" si="5"/>
        <v>1.5284587099739542</v>
      </c>
    </row>
    <row r="8" spans="1:19" x14ac:dyDescent="0.3">
      <c r="A8">
        <v>7</v>
      </c>
      <c r="B8" s="1">
        <v>44228</v>
      </c>
      <c r="C8" t="s">
        <v>25</v>
      </c>
      <c r="D8" t="s">
        <v>17</v>
      </c>
      <c r="E8">
        <v>983498</v>
      </c>
      <c r="F8">
        <v>511200</v>
      </c>
      <c r="G8">
        <v>3648.9</v>
      </c>
      <c r="H8">
        <v>2556</v>
      </c>
      <c r="I8">
        <v>94</v>
      </c>
      <c r="J8">
        <v>1</v>
      </c>
      <c r="K8">
        <v>1981</v>
      </c>
      <c r="L8">
        <f t="shared" si="0"/>
        <v>3648.9</v>
      </c>
      <c r="M8">
        <f t="shared" si="1"/>
        <v>54.290334073282352</v>
      </c>
      <c r="N8">
        <f t="shared" si="2"/>
        <v>1.0638297872340425</v>
      </c>
      <c r="O8">
        <f t="shared" si="3"/>
        <v>0.5</v>
      </c>
      <c r="P8">
        <f t="shared" si="4"/>
        <v>1.5314444745081366</v>
      </c>
      <c r="S8">
        <f t="shared" si="5"/>
        <v>0.35017392744740766</v>
      </c>
    </row>
    <row r="9" spans="1:19" x14ac:dyDescent="0.3">
      <c r="A9">
        <v>8</v>
      </c>
      <c r="B9" s="1">
        <v>44228</v>
      </c>
      <c r="C9" t="s">
        <v>26</v>
      </c>
      <c r="D9" t="s">
        <v>17</v>
      </c>
      <c r="E9">
        <v>4387490</v>
      </c>
      <c r="F9">
        <v>5544</v>
      </c>
      <c r="G9">
        <v>1293.55</v>
      </c>
      <c r="H9">
        <v>148</v>
      </c>
      <c r="I9">
        <v>3</v>
      </c>
      <c r="J9">
        <v>1</v>
      </c>
      <c r="K9">
        <v>4981</v>
      </c>
      <c r="L9">
        <f t="shared" si="0"/>
        <v>1293.55</v>
      </c>
      <c r="M9">
        <f t="shared" si="1"/>
        <v>385.06435777511501</v>
      </c>
      <c r="N9">
        <f t="shared" si="2"/>
        <v>33.333333333333329</v>
      </c>
      <c r="O9">
        <f t="shared" si="3"/>
        <v>2.6695526695526697</v>
      </c>
      <c r="P9">
        <f t="shared" si="4"/>
        <v>0.58607584510936717</v>
      </c>
      <c r="Q9">
        <f>MAX(K2,K301)</f>
        <v>8714</v>
      </c>
      <c r="S9">
        <f t="shared" si="5"/>
        <v>28.198863901849663</v>
      </c>
    </row>
    <row r="10" spans="1:19" x14ac:dyDescent="0.3">
      <c r="A10">
        <v>9</v>
      </c>
      <c r="B10" s="1">
        <v>44228</v>
      </c>
      <c r="C10" t="s">
        <v>27</v>
      </c>
      <c r="D10" t="s">
        <v>17</v>
      </c>
      <c r="E10">
        <v>544756</v>
      </c>
      <c r="F10">
        <v>56916</v>
      </c>
      <c r="G10">
        <v>16997.8</v>
      </c>
      <c r="H10">
        <v>596</v>
      </c>
      <c r="I10">
        <v>14</v>
      </c>
      <c r="J10">
        <v>2</v>
      </c>
      <c r="K10">
        <v>4162</v>
      </c>
      <c r="L10">
        <f t="shared" si="0"/>
        <v>8498.9</v>
      </c>
      <c r="M10">
        <f t="shared" si="1"/>
        <v>24.485521655743685</v>
      </c>
      <c r="N10">
        <f t="shared" si="2"/>
        <v>14.285714285714285</v>
      </c>
      <c r="O10">
        <f t="shared" si="3"/>
        <v>1.0471572141401364</v>
      </c>
      <c r="P10">
        <f t="shared" si="4"/>
        <v>1.2342770959282499</v>
      </c>
      <c r="S10">
        <f t="shared" si="5"/>
        <v>5.6424469156740926</v>
      </c>
    </row>
    <row r="11" spans="1:19" x14ac:dyDescent="0.3">
      <c r="A11">
        <v>10</v>
      </c>
      <c r="B11" s="1">
        <v>44228</v>
      </c>
      <c r="C11" t="s">
        <v>28</v>
      </c>
      <c r="D11" t="s">
        <v>23</v>
      </c>
      <c r="E11">
        <v>374754</v>
      </c>
      <c r="F11">
        <v>120436</v>
      </c>
      <c r="G11">
        <v>23604.1</v>
      </c>
      <c r="H11">
        <v>1498</v>
      </c>
      <c r="I11">
        <v>49</v>
      </c>
      <c r="J11">
        <v>7</v>
      </c>
      <c r="K11">
        <v>39081</v>
      </c>
      <c r="L11">
        <f t="shared" si="0"/>
        <v>3372.0142857142855</v>
      </c>
      <c r="M11">
        <f t="shared" si="1"/>
        <v>165.56869357442142</v>
      </c>
      <c r="N11">
        <f t="shared" si="2"/>
        <v>14.285714285714285</v>
      </c>
      <c r="O11">
        <f t="shared" si="3"/>
        <v>1.2438141419509117</v>
      </c>
      <c r="P11">
        <v>0</v>
      </c>
      <c r="S11">
        <f t="shared" si="5"/>
        <v>0.54290334073282354</v>
      </c>
    </row>
    <row r="12" spans="1:19" x14ac:dyDescent="0.3">
      <c r="A12">
        <v>11</v>
      </c>
      <c r="B12" s="1">
        <v>44228</v>
      </c>
      <c r="C12" t="s">
        <v>29</v>
      </c>
      <c r="D12" t="s">
        <v>30</v>
      </c>
      <c r="E12">
        <v>39889</v>
      </c>
      <c r="F12">
        <v>20900000</v>
      </c>
      <c r="G12">
        <v>931.99</v>
      </c>
      <c r="H12">
        <v>2090</v>
      </c>
      <c r="I12">
        <v>3</v>
      </c>
      <c r="J12">
        <v>0</v>
      </c>
      <c r="K12">
        <v>0</v>
      </c>
      <c r="L12">
        <f>IFERROR(G12/J12,0)</f>
        <v>0</v>
      </c>
      <c r="M12">
        <f t="shared" si="1"/>
        <v>0</v>
      </c>
      <c r="N12">
        <f t="shared" si="2"/>
        <v>0</v>
      </c>
      <c r="O12">
        <f t="shared" si="3"/>
        <v>0.01</v>
      </c>
      <c r="P12">
        <f t="shared" si="4"/>
        <v>0</v>
      </c>
      <c r="S12">
        <f t="shared" si="5"/>
        <v>3.8506435777511503</v>
      </c>
    </row>
    <row r="13" spans="1:19" x14ac:dyDescent="0.3">
      <c r="A13">
        <v>12</v>
      </c>
      <c r="B13" s="1">
        <v>44229</v>
      </c>
      <c r="C13" t="s">
        <v>16</v>
      </c>
      <c r="D13" t="s">
        <v>17</v>
      </c>
      <c r="E13">
        <v>349043</v>
      </c>
      <c r="F13">
        <v>478200</v>
      </c>
      <c r="G13">
        <v>18385.3</v>
      </c>
      <c r="H13">
        <v>2391</v>
      </c>
      <c r="I13">
        <v>48</v>
      </c>
      <c r="J13">
        <v>4</v>
      </c>
      <c r="K13">
        <v>17812</v>
      </c>
      <c r="L13">
        <f t="shared" si="0"/>
        <v>4596.3249999999998</v>
      </c>
      <c r="M13">
        <f t="shared" si="1"/>
        <v>96.881747918173772</v>
      </c>
      <c r="N13">
        <f t="shared" si="2"/>
        <v>8.3333333333333321</v>
      </c>
      <c r="O13">
        <f t="shared" si="3"/>
        <v>0.5</v>
      </c>
      <c r="P13">
        <v>0</v>
      </c>
      <c r="S13">
        <f t="shared" si="5"/>
        <v>0.48971043311487372</v>
      </c>
    </row>
    <row r="14" spans="1:19" x14ac:dyDescent="0.3">
      <c r="A14">
        <v>13</v>
      </c>
      <c r="B14" s="1">
        <v>44229</v>
      </c>
      <c r="C14" t="s">
        <v>18</v>
      </c>
      <c r="D14" t="s">
        <v>17</v>
      </c>
      <c r="E14">
        <v>348934</v>
      </c>
      <c r="F14">
        <v>957806</v>
      </c>
      <c r="G14">
        <v>2198.0500000000002</v>
      </c>
      <c r="H14">
        <v>3294</v>
      </c>
      <c r="I14">
        <v>10</v>
      </c>
      <c r="J14">
        <v>0</v>
      </c>
      <c r="K14">
        <v>0</v>
      </c>
      <c r="L14">
        <f>IFERROR(G14/J14,0)</f>
        <v>0</v>
      </c>
      <c r="M14">
        <f t="shared" si="1"/>
        <v>0</v>
      </c>
      <c r="N14">
        <f t="shared" si="2"/>
        <v>0</v>
      </c>
      <c r="O14">
        <f t="shared" si="3"/>
        <v>0.34391097988527947</v>
      </c>
      <c r="P14">
        <v>0</v>
      </c>
      <c r="S14">
        <f t="shared" si="5"/>
        <v>11.589808550209499</v>
      </c>
    </row>
    <row r="15" spans="1:19" x14ac:dyDescent="0.3">
      <c r="A15">
        <v>14</v>
      </c>
      <c r="B15" s="1">
        <v>44229</v>
      </c>
      <c r="C15" t="s">
        <v>19</v>
      </c>
      <c r="D15" t="s">
        <v>20</v>
      </c>
      <c r="E15">
        <v>89459845</v>
      </c>
      <c r="F15">
        <v>43806</v>
      </c>
      <c r="G15">
        <v>11446.7</v>
      </c>
      <c r="H15">
        <v>907</v>
      </c>
      <c r="I15">
        <v>18</v>
      </c>
      <c r="J15">
        <v>3</v>
      </c>
      <c r="K15">
        <v>23943</v>
      </c>
      <c r="L15">
        <v>0</v>
      </c>
      <c r="M15">
        <f t="shared" si="1"/>
        <v>209.16945495208225</v>
      </c>
      <c r="N15">
        <f t="shared" si="2"/>
        <v>16.666666666666664</v>
      </c>
      <c r="O15">
        <f t="shared" si="3"/>
        <v>2.0704926265808337</v>
      </c>
      <c r="P15">
        <f t="shared" si="4"/>
        <v>6.3200823566677222</v>
      </c>
      <c r="S15" cm="1">
        <f t="array" ref="S15">IFERROR(NA,0)</f>
        <v>0</v>
      </c>
    </row>
    <row r="16" spans="1:19" x14ac:dyDescent="0.3">
      <c r="A16">
        <v>15</v>
      </c>
      <c r="B16" s="1">
        <v>44229</v>
      </c>
      <c r="C16" t="s">
        <v>21</v>
      </c>
      <c r="D16" t="s">
        <v>20</v>
      </c>
      <c r="E16">
        <v>127823</v>
      </c>
      <c r="F16">
        <v>314704</v>
      </c>
      <c r="G16">
        <v>15153.6</v>
      </c>
      <c r="H16">
        <v>2395</v>
      </c>
      <c r="I16">
        <v>39</v>
      </c>
      <c r="J16">
        <v>4</v>
      </c>
      <c r="K16">
        <v>12540</v>
      </c>
      <c r="L16">
        <f t="shared" ref="L16:L79" si="6">G16/J16</f>
        <v>3788.4</v>
      </c>
      <c r="M16">
        <f t="shared" si="1"/>
        <v>82.752613240418114</v>
      </c>
      <c r="N16">
        <f t="shared" si="2"/>
        <v>10.256410256410255</v>
      </c>
      <c r="O16">
        <f t="shared" si="3"/>
        <v>0.76103258935380547</v>
      </c>
      <c r="P16">
        <f t="shared" si="4"/>
        <v>5.0395852590121777</v>
      </c>
      <c r="S16">
        <f t="shared" ref="S16:S30" si="7">K13/L13</f>
        <v>3.8752699167269506</v>
      </c>
    </row>
    <row r="17" spans="1:19" x14ac:dyDescent="0.3">
      <c r="A17">
        <v>16</v>
      </c>
      <c r="B17" s="1">
        <v>44229</v>
      </c>
      <c r="C17" t="s">
        <v>22</v>
      </c>
      <c r="D17" t="s">
        <v>23</v>
      </c>
      <c r="E17">
        <v>10934</v>
      </c>
      <c r="F17">
        <v>449200</v>
      </c>
      <c r="G17">
        <v>42301.1</v>
      </c>
      <c r="H17">
        <v>4492</v>
      </c>
      <c r="I17">
        <v>85</v>
      </c>
      <c r="J17">
        <v>17</v>
      </c>
      <c r="K17">
        <v>149141</v>
      </c>
      <c r="L17">
        <f t="shared" si="6"/>
        <v>2488.2999999999997</v>
      </c>
      <c r="M17">
        <f t="shared" si="1"/>
        <v>352.57002772977535</v>
      </c>
      <c r="N17">
        <f t="shared" si="2"/>
        <v>20</v>
      </c>
      <c r="O17">
        <f t="shared" si="3"/>
        <v>1</v>
      </c>
      <c r="P17">
        <f t="shared" si="4"/>
        <v>46.156060121522231</v>
      </c>
      <c r="S17">
        <v>0</v>
      </c>
    </row>
    <row r="18" spans="1:19" x14ac:dyDescent="0.3">
      <c r="A18">
        <v>17</v>
      </c>
      <c r="B18" s="1">
        <v>44229</v>
      </c>
      <c r="C18" t="s">
        <v>24</v>
      </c>
      <c r="D18" t="s">
        <v>17</v>
      </c>
      <c r="E18">
        <v>9034945</v>
      </c>
      <c r="F18">
        <v>540200</v>
      </c>
      <c r="G18">
        <v>29081.1</v>
      </c>
      <c r="H18">
        <v>2701</v>
      </c>
      <c r="I18">
        <v>54</v>
      </c>
      <c r="J18">
        <v>9</v>
      </c>
      <c r="K18">
        <v>45585</v>
      </c>
      <c r="L18">
        <f t="shared" si="6"/>
        <v>3231.2333333333331</v>
      </c>
      <c r="M18">
        <f t="shared" si="1"/>
        <v>156.75129207629698</v>
      </c>
      <c r="N18">
        <f t="shared" si="2"/>
        <v>16.666666666666664</v>
      </c>
      <c r="O18">
        <f t="shared" si="3"/>
        <v>0.5</v>
      </c>
      <c r="P18">
        <v>0</v>
      </c>
      <c r="S18">
        <v>0</v>
      </c>
    </row>
    <row r="19" spans="1:19" x14ac:dyDescent="0.3">
      <c r="A19">
        <v>18</v>
      </c>
      <c r="B19" s="1">
        <v>44229</v>
      </c>
      <c r="C19" t="s">
        <v>25</v>
      </c>
      <c r="D19" t="s">
        <v>17</v>
      </c>
      <c r="E19">
        <v>983498</v>
      </c>
      <c r="F19">
        <v>1020800</v>
      </c>
      <c r="G19">
        <v>1421.34</v>
      </c>
      <c r="H19">
        <v>5104</v>
      </c>
      <c r="I19">
        <v>14</v>
      </c>
      <c r="J19">
        <v>0</v>
      </c>
      <c r="K19">
        <v>0</v>
      </c>
      <c r="L19">
        <v>0</v>
      </c>
      <c r="M19">
        <f t="shared" si="1"/>
        <v>0</v>
      </c>
      <c r="N19">
        <f t="shared" si="2"/>
        <v>0</v>
      </c>
      <c r="O19">
        <f t="shared" si="3"/>
        <v>0.5</v>
      </c>
      <c r="P19">
        <v>0</v>
      </c>
      <c r="S19">
        <f t="shared" si="7"/>
        <v>3.3101045296167246</v>
      </c>
    </row>
    <row r="20" spans="1:19" x14ac:dyDescent="0.3">
      <c r="A20">
        <v>19</v>
      </c>
      <c r="B20" s="1">
        <v>44229</v>
      </c>
      <c r="C20" t="s">
        <v>26</v>
      </c>
      <c r="D20" t="s">
        <v>17</v>
      </c>
      <c r="E20">
        <v>4387490</v>
      </c>
      <c r="F20">
        <v>10033</v>
      </c>
      <c r="G20">
        <v>169.75</v>
      </c>
      <c r="H20">
        <v>301</v>
      </c>
      <c r="I20">
        <v>0</v>
      </c>
      <c r="J20">
        <v>0</v>
      </c>
      <c r="K20">
        <v>0</v>
      </c>
      <c r="L20">
        <v>0</v>
      </c>
      <c r="M20">
        <f t="shared" si="1"/>
        <v>0</v>
      </c>
      <c r="N20">
        <v>0</v>
      </c>
      <c r="O20">
        <f t="shared" si="3"/>
        <v>3.000099671085418</v>
      </c>
      <c r="P20">
        <f t="shared" si="4"/>
        <v>0</v>
      </c>
      <c r="S20">
        <f t="shared" si="7"/>
        <v>59.936904714061818</v>
      </c>
    </row>
    <row r="21" spans="1:19" x14ac:dyDescent="0.3">
      <c r="A21">
        <v>20</v>
      </c>
      <c r="B21" s="1">
        <v>44229</v>
      </c>
      <c r="C21" t="s">
        <v>27</v>
      </c>
      <c r="D21" t="s">
        <v>17</v>
      </c>
      <c r="E21">
        <v>544756</v>
      </c>
      <c r="F21">
        <v>107553</v>
      </c>
      <c r="G21">
        <v>8829.07</v>
      </c>
      <c r="H21">
        <v>1196</v>
      </c>
      <c r="I21">
        <v>7</v>
      </c>
      <c r="J21">
        <v>1</v>
      </c>
      <c r="K21">
        <v>1129</v>
      </c>
      <c r="L21">
        <f t="shared" si="6"/>
        <v>8829.07</v>
      </c>
      <c r="M21">
        <f t="shared" si="1"/>
        <v>12.787303759059562</v>
      </c>
      <c r="N21">
        <f t="shared" si="2"/>
        <v>14.285714285714285</v>
      </c>
      <c r="O21">
        <f t="shared" si="3"/>
        <v>1.1120098927970397</v>
      </c>
      <c r="P21">
        <f t="shared" si="4"/>
        <v>0.24333469836411839</v>
      </c>
    </row>
    <row r="22" spans="1:19" x14ac:dyDescent="0.3">
      <c r="A22">
        <v>21</v>
      </c>
      <c r="B22" s="1">
        <v>44229</v>
      </c>
      <c r="C22" t="s">
        <v>28</v>
      </c>
      <c r="D22" t="s">
        <v>23</v>
      </c>
      <c r="E22">
        <v>374754</v>
      </c>
      <c r="F22">
        <v>299600</v>
      </c>
      <c r="G22">
        <v>13919.1</v>
      </c>
      <c r="H22">
        <v>2996</v>
      </c>
      <c r="I22">
        <v>19</v>
      </c>
      <c r="J22">
        <v>3</v>
      </c>
      <c r="K22">
        <v>14466</v>
      </c>
      <c r="L22">
        <f t="shared" si="6"/>
        <v>4639.7</v>
      </c>
      <c r="M22">
        <f t="shared" si="1"/>
        <v>103.92913334913897</v>
      </c>
      <c r="N22">
        <f t="shared" si="2"/>
        <v>15.789473684210526</v>
      </c>
      <c r="O22">
        <f t="shared" si="3"/>
        <v>1</v>
      </c>
    </row>
    <row r="23" spans="1:19" x14ac:dyDescent="0.3">
      <c r="A23">
        <v>22</v>
      </c>
      <c r="B23" s="1">
        <v>44229</v>
      </c>
      <c r="C23" t="s">
        <v>29</v>
      </c>
      <c r="D23" t="s">
        <v>30</v>
      </c>
      <c r="E23">
        <v>39889</v>
      </c>
      <c r="F23">
        <v>42000000</v>
      </c>
      <c r="G23">
        <v>46159.8</v>
      </c>
      <c r="H23">
        <v>4200</v>
      </c>
      <c r="I23">
        <v>92</v>
      </c>
      <c r="J23">
        <v>13</v>
      </c>
      <c r="K23">
        <v>51753</v>
      </c>
      <c r="L23">
        <f t="shared" si="6"/>
        <v>3550.7538461538466</v>
      </c>
      <c r="M23">
        <f t="shared" si="1"/>
        <v>112.11703690223959</v>
      </c>
      <c r="N23">
        <f t="shared" si="2"/>
        <v>14.130434782608695</v>
      </c>
      <c r="O23">
        <f t="shared" si="3"/>
        <v>0.01</v>
      </c>
    </row>
    <row r="24" spans="1:19" x14ac:dyDescent="0.3">
      <c r="A24">
        <v>23</v>
      </c>
      <c r="B24" s="1">
        <v>44230</v>
      </c>
      <c r="C24" t="s">
        <v>16</v>
      </c>
      <c r="D24" t="s">
        <v>17</v>
      </c>
      <c r="E24">
        <v>349043</v>
      </c>
      <c r="F24">
        <v>2313889</v>
      </c>
      <c r="G24">
        <v>65284.4</v>
      </c>
      <c r="H24">
        <v>7197</v>
      </c>
      <c r="I24">
        <v>115</v>
      </c>
      <c r="J24">
        <v>13</v>
      </c>
      <c r="K24">
        <v>72527</v>
      </c>
      <c r="L24">
        <f t="shared" si="6"/>
        <v>5021.876923076923</v>
      </c>
      <c r="M24">
        <f t="shared" si="1"/>
        <v>111.09392136559424</v>
      </c>
      <c r="N24">
        <f t="shared" si="2"/>
        <v>11.304347826086957</v>
      </c>
      <c r="O24">
        <f t="shared" si="3"/>
        <v>0.31103479898992564</v>
      </c>
    </row>
    <row r="25" spans="1:19" x14ac:dyDescent="0.3">
      <c r="A25">
        <v>24</v>
      </c>
      <c r="B25" s="1">
        <v>44230</v>
      </c>
      <c r="C25" t="s">
        <v>18</v>
      </c>
      <c r="D25" t="s">
        <v>17</v>
      </c>
      <c r="E25">
        <v>348934</v>
      </c>
      <c r="F25">
        <v>1105666</v>
      </c>
      <c r="G25">
        <v>78958.3</v>
      </c>
      <c r="H25">
        <v>9898</v>
      </c>
      <c r="I25">
        <v>226</v>
      </c>
      <c r="J25">
        <v>12</v>
      </c>
      <c r="K25">
        <v>59772</v>
      </c>
      <c r="L25">
        <f t="shared" si="6"/>
        <v>6579.8583333333336</v>
      </c>
      <c r="M25">
        <f t="shared" si="1"/>
        <v>75.700717973917875</v>
      </c>
      <c r="N25">
        <f t="shared" si="2"/>
        <v>5.3097345132743365</v>
      </c>
      <c r="O25">
        <f t="shared" si="3"/>
        <v>0.8952070516774504</v>
      </c>
    </row>
    <row r="26" spans="1:19" x14ac:dyDescent="0.3">
      <c r="A26">
        <v>25</v>
      </c>
      <c r="B26" s="1">
        <v>44230</v>
      </c>
      <c r="C26" t="s">
        <v>19</v>
      </c>
      <c r="D26" t="s">
        <v>20</v>
      </c>
      <c r="E26">
        <v>89459845</v>
      </c>
      <c r="F26">
        <v>134900</v>
      </c>
      <c r="G26">
        <v>77345.5</v>
      </c>
      <c r="H26">
        <v>2698</v>
      </c>
      <c r="I26">
        <v>84</v>
      </c>
      <c r="J26">
        <v>16</v>
      </c>
      <c r="K26">
        <v>115856</v>
      </c>
      <c r="L26">
        <f t="shared" si="6"/>
        <v>4834.09375</v>
      </c>
      <c r="M26">
        <f t="shared" si="1"/>
        <v>149.79022696860193</v>
      </c>
      <c r="N26">
        <f t="shared" si="2"/>
        <v>19.047619047619047</v>
      </c>
      <c r="O26">
        <f t="shared" si="3"/>
        <v>2</v>
      </c>
    </row>
    <row r="27" spans="1:19" x14ac:dyDescent="0.3">
      <c r="A27">
        <v>26</v>
      </c>
      <c r="B27" s="1">
        <v>44230</v>
      </c>
      <c r="C27" t="s">
        <v>21</v>
      </c>
      <c r="D27" t="s">
        <v>20</v>
      </c>
      <c r="E27">
        <v>127823</v>
      </c>
      <c r="F27">
        <v>4371854</v>
      </c>
      <c r="G27">
        <v>49498.9</v>
      </c>
      <c r="H27">
        <v>7207</v>
      </c>
      <c r="I27">
        <v>144</v>
      </c>
      <c r="J27">
        <v>13</v>
      </c>
      <c r="K27">
        <v>38753</v>
      </c>
      <c r="L27">
        <f t="shared" si="6"/>
        <v>3807.6076923076926</v>
      </c>
      <c r="M27">
        <f t="shared" si="1"/>
        <v>78.29062868063734</v>
      </c>
      <c r="N27">
        <f t="shared" si="2"/>
        <v>9.0277777777777768</v>
      </c>
      <c r="O27">
        <f t="shared" si="3"/>
        <v>0.16484996982973357</v>
      </c>
    </row>
    <row r="28" spans="1:19" x14ac:dyDescent="0.3">
      <c r="A28">
        <v>27</v>
      </c>
      <c r="B28" s="1">
        <v>44230</v>
      </c>
      <c r="C28" t="s">
        <v>22</v>
      </c>
      <c r="D28" t="s">
        <v>23</v>
      </c>
      <c r="E28">
        <v>10934</v>
      </c>
      <c r="F28">
        <v>1035261</v>
      </c>
      <c r="G28">
        <v>189341</v>
      </c>
      <c r="H28">
        <v>13503</v>
      </c>
      <c r="I28">
        <v>455</v>
      </c>
      <c r="J28">
        <v>91</v>
      </c>
      <c r="K28">
        <v>772499</v>
      </c>
      <c r="L28">
        <f t="shared" si="6"/>
        <v>2080.6703296703295</v>
      </c>
      <c r="M28">
        <f t="shared" si="1"/>
        <v>407.99351434713031</v>
      </c>
      <c r="N28">
        <f t="shared" si="2"/>
        <v>20</v>
      </c>
      <c r="O28">
        <f t="shared" si="3"/>
        <v>1.3043087685134473</v>
      </c>
    </row>
    <row r="29" spans="1:19" x14ac:dyDescent="0.3">
      <c r="A29">
        <v>28</v>
      </c>
      <c r="B29" s="1">
        <v>44230</v>
      </c>
      <c r="C29" t="s">
        <v>24</v>
      </c>
      <c r="D29" t="s">
        <v>17</v>
      </c>
      <c r="E29">
        <v>9034945</v>
      </c>
      <c r="F29">
        <v>1618600</v>
      </c>
      <c r="G29">
        <v>62509.8</v>
      </c>
      <c r="H29">
        <v>8093</v>
      </c>
      <c r="I29">
        <v>166</v>
      </c>
      <c r="J29">
        <v>15</v>
      </c>
      <c r="K29">
        <v>84600</v>
      </c>
      <c r="L29">
        <f t="shared" si="6"/>
        <v>4167.3200000000006</v>
      </c>
      <c r="M29">
        <f t="shared" si="1"/>
        <v>135.3387788794717</v>
      </c>
      <c r="N29">
        <f t="shared" si="2"/>
        <v>9.0361445783132535</v>
      </c>
      <c r="O29">
        <f t="shared" si="3"/>
        <v>0.5</v>
      </c>
    </row>
    <row r="30" spans="1:19" x14ac:dyDescent="0.3">
      <c r="A30">
        <v>29</v>
      </c>
      <c r="B30" s="1">
        <v>44230</v>
      </c>
      <c r="C30" t="s">
        <v>25</v>
      </c>
      <c r="D30" t="s">
        <v>17</v>
      </c>
      <c r="E30">
        <v>983498</v>
      </c>
      <c r="F30">
        <v>3059600</v>
      </c>
      <c r="G30">
        <v>94399.9</v>
      </c>
      <c r="H30">
        <v>15298</v>
      </c>
      <c r="I30">
        <v>592</v>
      </c>
      <c r="J30">
        <v>36</v>
      </c>
      <c r="K30">
        <v>104184</v>
      </c>
      <c r="L30">
        <f t="shared" si="6"/>
        <v>2622.2194444444444</v>
      </c>
      <c r="M30">
        <f t="shared" si="1"/>
        <v>110.36452369123273</v>
      </c>
      <c r="N30">
        <f t="shared" si="2"/>
        <v>6.0810810810810816</v>
      </c>
      <c r="O30">
        <f t="shared" si="3"/>
        <v>0.5</v>
      </c>
    </row>
    <row r="31" spans="1:19" x14ac:dyDescent="0.3">
      <c r="A31">
        <v>30</v>
      </c>
      <c r="B31" s="1">
        <v>44230</v>
      </c>
      <c r="C31" t="s">
        <v>26</v>
      </c>
      <c r="D31" t="s">
        <v>17</v>
      </c>
      <c r="E31">
        <v>4387490</v>
      </c>
      <c r="F31">
        <v>29867</v>
      </c>
      <c r="G31">
        <v>5039.51</v>
      </c>
      <c r="H31">
        <v>896</v>
      </c>
      <c r="I31">
        <v>18</v>
      </c>
      <c r="J31">
        <v>4</v>
      </c>
      <c r="K31">
        <v>23560</v>
      </c>
      <c r="L31">
        <f t="shared" si="6"/>
        <v>1259.8775000000001</v>
      </c>
      <c r="M31">
        <f t="shared" si="1"/>
        <v>467.50576941012116</v>
      </c>
      <c r="N31">
        <f t="shared" si="2"/>
        <v>22.222222222222221</v>
      </c>
      <c r="O31">
        <f t="shared" si="3"/>
        <v>2.9999665182308233</v>
      </c>
    </row>
    <row r="32" spans="1:19" x14ac:dyDescent="0.3">
      <c r="A32">
        <v>31</v>
      </c>
      <c r="B32" s="1">
        <v>44230</v>
      </c>
      <c r="C32" t="s">
        <v>27</v>
      </c>
      <c r="D32" t="s">
        <v>17</v>
      </c>
      <c r="E32">
        <v>544756</v>
      </c>
      <c r="F32">
        <v>295009</v>
      </c>
      <c r="G32">
        <v>76716.399999999994</v>
      </c>
      <c r="H32">
        <v>3595</v>
      </c>
      <c r="I32">
        <v>72</v>
      </c>
      <c r="J32">
        <v>9</v>
      </c>
      <c r="K32">
        <v>5607</v>
      </c>
      <c r="L32">
        <f t="shared" si="6"/>
        <v>8524.0444444444438</v>
      </c>
      <c r="M32">
        <f t="shared" si="1"/>
        <v>7.3087371148802607</v>
      </c>
      <c r="N32">
        <f t="shared" si="2"/>
        <v>12.5</v>
      </c>
      <c r="O32">
        <f t="shared" si="3"/>
        <v>1.2186068899592895</v>
      </c>
    </row>
    <row r="33" spans="1:15" x14ac:dyDescent="0.3">
      <c r="A33">
        <v>32</v>
      </c>
      <c r="B33" s="1">
        <v>44230</v>
      </c>
      <c r="C33" t="s">
        <v>28</v>
      </c>
      <c r="D33" t="s">
        <v>23</v>
      </c>
      <c r="E33">
        <v>374754</v>
      </c>
      <c r="F33">
        <v>667352</v>
      </c>
      <c r="G33">
        <v>194336</v>
      </c>
      <c r="H33">
        <v>8996</v>
      </c>
      <c r="I33">
        <v>342</v>
      </c>
      <c r="J33">
        <v>51</v>
      </c>
      <c r="K33">
        <v>254031</v>
      </c>
      <c r="L33">
        <f t="shared" si="6"/>
        <v>3810.5098039215686</v>
      </c>
      <c r="M33">
        <f t="shared" si="1"/>
        <v>130.71741725671004</v>
      </c>
      <c r="N33">
        <f t="shared" si="2"/>
        <v>14.912280701754385</v>
      </c>
      <c r="O33">
        <f t="shared" si="3"/>
        <v>1.3480142413598821</v>
      </c>
    </row>
    <row r="34" spans="1:15" x14ac:dyDescent="0.3">
      <c r="A34">
        <v>33</v>
      </c>
      <c r="B34" s="1">
        <v>44230</v>
      </c>
      <c r="C34" t="s">
        <v>29</v>
      </c>
      <c r="D34" t="s">
        <v>30</v>
      </c>
      <c r="E34">
        <v>39889</v>
      </c>
      <c r="F34">
        <v>125910000</v>
      </c>
      <c r="G34">
        <v>29378.3</v>
      </c>
      <c r="H34">
        <v>12591</v>
      </c>
      <c r="I34">
        <v>68</v>
      </c>
      <c r="J34">
        <v>13</v>
      </c>
      <c r="K34">
        <v>51753</v>
      </c>
      <c r="L34">
        <f t="shared" si="6"/>
        <v>2259.8692307692309</v>
      </c>
      <c r="M34">
        <f t="shared" si="1"/>
        <v>176.16063557115288</v>
      </c>
      <c r="N34">
        <f t="shared" si="2"/>
        <v>19.117647058823529</v>
      </c>
      <c r="O34">
        <f t="shared" si="3"/>
        <v>0.01</v>
      </c>
    </row>
    <row r="35" spans="1:15" x14ac:dyDescent="0.3">
      <c r="A35">
        <v>34</v>
      </c>
      <c r="B35" s="1">
        <v>44231</v>
      </c>
      <c r="C35" t="s">
        <v>16</v>
      </c>
      <c r="D35" t="s">
        <v>17</v>
      </c>
      <c r="E35">
        <v>349043</v>
      </c>
      <c r="F35">
        <v>2475754</v>
      </c>
      <c r="G35">
        <v>173914</v>
      </c>
      <c r="H35">
        <v>9601</v>
      </c>
      <c r="I35">
        <v>192</v>
      </c>
      <c r="J35">
        <v>31</v>
      </c>
      <c r="K35">
        <v>154411</v>
      </c>
      <c r="L35">
        <f t="shared" si="6"/>
        <v>5610.1290322580644</v>
      </c>
      <c r="M35">
        <f t="shared" si="1"/>
        <v>88.78583667789826</v>
      </c>
      <c r="N35">
        <f t="shared" si="2"/>
        <v>16.145833333333336</v>
      </c>
      <c r="O35">
        <f t="shared" si="3"/>
        <v>0.38780104970041451</v>
      </c>
    </row>
    <row r="36" spans="1:15" x14ac:dyDescent="0.3">
      <c r="A36">
        <v>35</v>
      </c>
      <c r="B36" s="1">
        <v>44231</v>
      </c>
      <c r="C36" t="s">
        <v>18</v>
      </c>
      <c r="D36" t="s">
        <v>17</v>
      </c>
      <c r="E36">
        <v>348934</v>
      </c>
      <c r="F36">
        <v>4597702</v>
      </c>
      <c r="G36">
        <v>115389</v>
      </c>
      <c r="H36">
        <v>13206</v>
      </c>
      <c r="I36">
        <v>143</v>
      </c>
      <c r="J36">
        <v>17</v>
      </c>
      <c r="K36">
        <v>82909</v>
      </c>
      <c r="L36">
        <f t="shared" si="6"/>
        <v>6787.588235294118</v>
      </c>
      <c r="M36">
        <f t="shared" si="1"/>
        <v>71.851736300687236</v>
      </c>
      <c r="N36">
        <f t="shared" si="2"/>
        <v>11.888111888111888</v>
      </c>
      <c r="O36">
        <f t="shared" si="3"/>
        <v>0.28723044686236732</v>
      </c>
    </row>
    <row r="37" spans="1:15" x14ac:dyDescent="0.3">
      <c r="A37">
        <v>36</v>
      </c>
      <c r="B37" s="1">
        <v>44231</v>
      </c>
      <c r="C37" t="s">
        <v>19</v>
      </c>
      <c r="D37" t="s">
        <v>20</v>
      </c>
      <c r="E37">
        <v>89459845</v>
      </c>
      <c r="F37">
        <v>196484</v>
      </c>
      <c r="G37">
        <v>41269.599999999999</v>
      </c>
      <c r="H37">
        <v>3599</v>
      </c>
      <c r="I37">
        <v>55</v>
      </c>
      <c r="J37">
        <v>9</v>
      </c>
      <c r="K37">
        <v>68589</v>
      </c>
      <c r="L37">
        <f t="shared" si="6"/>
        <v>4585.5111111111109</v>
      </c>
      <c r="M37">
        <f t="shared" si="1"/>
        <v>166.19739469246127</v>
      </c>
      <c r="N37">
        <f t="shared" si="2"/>
        <v>16.363636363636363</v>
      </c>
      <c r="O37">
        <f t="shared" si="3"/>
        <v>1.8317013090124388</v>
      </c>
    </row>
    <row r="38" spans="1:15" x14ac:dyDescent="0.3">
      <c r="A38">
        <v>37</v>
      </c>
      <c r="B38" s="1">
        <v>44231</v>
      </c>
      <c r="C38" t="s">
        <v>21</v>
      </c>
      <c r="D38" t="s">
        <v>20</v>
      </c>
      <c r="E38">
        <v>127823</v>
      </c>
      <c r="F38">
        <v>1531679</v>
      </c>
      <c r="G38">
        <v>60108.800000000003</v>
      </c>
      <c r="H38">
        <v>9591</v>
      </c>
      <c r="I38">
        <v>234</v>
      </c>
      <c r="J38">
        <v>17</v>
      </c>
      <c r="K38">
        <v>58990</v>
      </c>
      <c r="L38">
        <f t="shared" si="6"/>
        <v>3535.8117647058825</v>
      </c>
      <c r="M38">
        <f t="shared" si="1"/>
        <v>98.138708475298117</v>
      </c>
      <c r="N38">
        <f t="shared" si="2"/>
        <v>7.2649572649572658</v>
      </c>
      <c r="O38">
        <f t="shared" si="3"/>
        <v>0.62617558901049108</v>
      </c>
    </row>
    <row r="39" spans="1:15" x14ac:dyDescent="0.3">
      <c r="A39">
        <v>38</v>
      </c>
      <c r="B39" s="1">
        <v>44231</v>
      </c>
      <c r="C39" t="s">
        <v>22</v>
      </c>
      <c r="D39" t="s">
        <v>23</v>
      </c>
      <c r="E39">
        <v>10934</v>
      </c>
      <c r="F39">
        <v>2120555</v>
      </c>
      <c r="G39">
        <v>185263</v>
      </c>
      <c r="H39">
        <v>17993</v>
      </c>
      <c r="I39">
        <v>445</v>
      </c>
      <c r="J39">
        <v>89</v>
      </c>
      <c r="K39">
        <v>624958</v>
      </c>
      <c r="L39">
        <f t="shared" si="6"/>
        <v>2081.6067415730336</v>
      </c>
      <c r="M39">
        <f t="shared" si="1"/>
        <v>337.33557159281673</v>
      </c>
      <c r="N39">
        <f t="shared" si="2"/>
        <v>20</v>
      </c>
      <c r="O39">
        <f t="shared" si="3"/>
        <v>0.84850428307683601</v>
      </c>
    </row>
    <row r="40" spans="1:15" x14ac:dyDescent="0.3">
      <c r="A40">
        <v>39</v>
      </c>
      <c r="B40" s="1">
        <v>44231</v>
      </c>
      <c r="C40" t="s">
        <v>24</v>
      </c>
      <c r="D40" t="s">
        <v>17</v>
      </c>
      <c r="E40">
        <v>9034945</v>
      </c>
      <c r="F40">
        <v>1322751</v>
      </c>
      <c r="G40">
        <v>104028</v>
      </c>
      <c r="H40">
        <v>10794</v>
      </c>
      <c r="I40">
        <v>238</v>
      </c>
      <c r="J40">
        <v>27</v>
      </c>
      <c r="K40">
        <v>179037</v>
      </c>
      <c r="L40">
        <f t="shared" si="6"/>
        <v>3852.8888888888887</v>
      </c>
      <c r="M40">
        <f t="shared" si="1"/>
        <v>172.10462567770216</v>
      </c>
      <c r="N40">
        <f t="shared" si="2"/>
        <v>11.344537815126051</v>
      </c>
      <c r="O40">
        <f t="shared" si="3"/>
        <v>0.81602659911049014</v>
      </c>
    </row>
    <row r="41" spans="1:15" x14ac:dyDescent="0.3">
      <c r="A41">
        <v>40</v>
      </c>
      <c r="B41" s="1">
        <v>44231</v>
      </c>
      <c r="C41" t="s">
        <v>25</v>
      </c>
      <c r="D41" t="s">
        <v>17</v>
      </c>
      <c r="E41">
        <v>983498</v>
      </c>
      <c r="F41">
        <v>3008227</v>
      </c>
      <c r="G41">
        <v>40119.199999999997</v>
      </c>
      <c r="H41">
        <v>20392</v>
      </c>
      <c r="I41">
        <v>408</v>
      </c>
      <c r="J41">
        <v>12</v>
      </c>
      <c r="K41">
        <v>23772</v>
      </c>
      <c r="L41">
        <f t="shared" si="6"/>
        <v>3343.2666666666664</v>
      </c>
      <c r="M41">
        <f t="shared" si="1"/>
        <v>59.253424794113542</v>
      </c>
      <c r="N41">
        <f t="shared" si="2"/>
        <v>2.9411764705882351</v>
      </c>
      <c r="O41">
        <f t="shared" si="3"/>
        <v>0.67787437583666388</v>
      </c>
    </row>
    <row r="42" spans="1:15" x14ac:dyDescent="0.3">
      <c r="A42">
        <v>41</v>
      </c>
      <c r="B42" s="1">
        <v>44231</v>
      </c>
      <c r="C42" t="s">
        <v>26</v>
      </c>
      <c r="D42" t="s">
        <v>17</v>
      </c>
      <c r="E42">
        <v>4387490</v>
      </c>
      <c r="F42">
        <v>43160</v>
      </c>
      <c r="G42">
        <v>885.75</v>
      </c>
      <c r="H42">
        <v>1194</v>
      </c>
      <c r="I42">
        <v>4</v>
      </c>
      <c r="J42">
        <v>1</v>
      </c>
      <c r="K42">
        <v>5287</v>
      </c>
      <c r="L42">
        <f t="shared" si="6"/>
        <v>885.75</v>
      </c>
      <c r="M42">
        <f t="shared" si="1"/>
        <v>596.89528648038379</v>
      </c>
      <c r="N42">
        <f t="shared" si="2"/>
        <v>25</v>
      </c>
      <c r="O42">
        <f t="shared" si="3"/>
        <v>2.7664504170528268</v>
      </c>
    </row>
    <row r="43" spans="1:15" x14ac:dyDescent="0.3">
      <c r="A43">
        <v>42</v>
      </c>
      <c r="B43" s="1">
        <v>44231</v>
      </c>
      <c r="C43" t="s">
        <v>27</v>
      </c>
      <c r="D43" t="s">
        <v>17</v>
      </c>
      <c r="E43">
        <v>544756</v>
      </c>
      <c r="F43">
        <v>432611</v>
      </c>
      <c r="G43">
        <v>120335</v>
      </c>
      <c r="H43">
        <v>4807</v>
      </c>
      <c r="I43">
        <v>71</v>
      </c>
      <c r="J43">
        <v>13</v>
      </c>
      <c r="K43">
        <v>6864</v>
      </c>
      <c r="L43">
        <f t="shared" si="6"/>
        <v>9256.538461538461</v>
      </c>
      <c r="M43">
        <f t="shared" si="1"/>
        <v>5.7040761208293516</v>
      </c>
      <c r="N43">
        <f t="shared" si="2"/>
        <v>18.30985915492958</v>
      </c>
      <c r="O43">
        <f t="shared" si="3"/>
        <v>1.1111599104044974</v>
      </c>
    </row>
    <row r="44" spans="1:15" x14ac:dyDescent="0.3">
      <c r="A44">
        <v>43</v>
      </c>
      <c r="B44" s="1">
        <v>44231</v>
      </c>
      <c r="C44" t="s">
        <v>28</v>
      </c>
      <c r="D44" t="s">
        <v>23</v>
      </c>
      <c r="E44">
        <v>374754</v>
      </c>
      <c r="F44">
        <v>1199300</v>
      </c>
      <c r="G44">
        <v>149279</v>
      </c>
      <c r="H44">
        <v>11993</v>
      </c>
      <c r="I44">
        <v>267</v>
      </c>
      <c r="J44">
        <v>38</v>
      </c>
      <c r="K44">
        <v>224542</v>
      </c>
      <c r="L44">
        <f t="shared" si="6"/>
        <v>3928.3947368421054</v>
      </c>
      <c r="M44">
        <f t="shared" si="1"/>
        <v>150.4176742877431</v>
      </c>
      <c r="N44">
        <f t="shared" si="2"/>
        <v>14.232209737827715</v>
      </c>
      <c r="O44">
        <f t="shared" si="3"/>
        <v>1</v>
      </c>
    </row>
    <row r="45" spans="1:15" x14ac:dyDescent="0.3">
      <c r="A45">
        <v>44</v>
      </c>
      <c r="B45" s="1">
        <v>44231</v>
      </c>
      <c r="C45" t="s">
        <v>29</v>
      </c>
      <c r="D45" t="s">
        <v>30</v>
      </c>
      <c r="E45">
        <v>39889</v>
      </c>
      <c r="F45">
        <v>41924802</v>
      </c>
      <c r="G45">
        <v>177746</v>
      </c>
      <c r="H45">
        <v>16806</v>
      </c>
      <c r="I45">
        <v>336</v>
      </c>
      <c r="J45">
        <v>60</v>
      </c>
      <c r="K45">
        <v>204540</v>
      </c>
      <c r="L45">
        <f t="shared" si="6"/>
        <v>2962.4333333333334</v>
      </c>
      <c r="M45">
        <f t="shared" si="1"/>
        <v>115.07431953461682</v>
      </c>
      <c r="N45">
        <f t="shared" si="2"/>
        <v>17.857142857142858</v>
      </c>
      <c r="O45">
        <f t="shared" si="3"/>
        <v>4.008605693593973E-2</v>
      </c>
    </row>
    <row r="46" spans="1:15" x14ac:dyDescent="0.3">
      <c r="A46">
        <v>45</v>
      </c>
      <c r="B46" s="1">
        <v>44232</v>
      </c>
      <c r="C46" t="s">
        <v>16</v>
      </c>
      <c r="D46" t="s">
        <v>17</v>
      </c>
      <c r="E46">
        <v>349043</v>
      </c>
      <c r="F46">
        <v>3462883</v>
      </c>
      <c r="G46">
        <v>90691.7</v>
      </c>
      <c r="H46">
        <v>11997</v>
      </c>
      <c r="I46">
        <v>143</v>
      </c>
      <c r="J46">
        <v>17</v>
      </c>
      <c r="K46">
        <v>84677</v>
      </c>
      <c r="L46">
        <f t="shared" si="6"/>
        <v>5334.8058823529409</v>
      </c>
      <c r="M46">
        <f t="shared" si="1"/>
        <v>93.367970828642527</v>
      </c>
      <c r="N46">
        <f t="shared" si="2"/>
        <v>11.888111888111888</v>
      </c>
      <c r="O46">
        <f t="shared" si="3"/>
        <v>0.34644543289507618</v>
      </c>
    </row>
    <row r="47" spans="1:15" x14ac:dyDescent="0.3">
      <c r="A47">
        <v>46</v>
      </c>
      <c r="B47" s="1">
        <v>44232</v>
      </c>
      <c r="C47" t="s">
        <v>18</v>
      </c>
      <c r="D47" t="s">
        <v>17</v>
      </c>
      <c r="E47">
        <v>348934</v>
      </c>
      <c r="F47">
        <v>3299600</v>
      </c>
      <c r="G47">
        <v>261047</v>
      </c>
      <c r="H47">
        <v>16498</v>
      </c>
      <c r="I47">
        <v>330</v>
      </c>
      <c r="J47">
        <v>42</v>
      </c>
      <c r="K47">
        <v>209202</v>
      </c>
      <c r="L47">
        <f t="shared" si="6"/>
        <v>6215.4047619047615</v>
      </c>
      <c r="M47">
        <f t="shared" si="1"/>
        <v>80.139591721031081</v>
      </c>
      <c r="N47">
        <f t="shared" si="2"/>
        <v>12.727272727272727</v>
      </c>
      <c r="O47">
        <f t="shared" si="3"/>
        <v>0.5</v>
      </c>
    </row>
    <row r="48" spans="1:15" x14ac:dyDescent="0.3">
      <c r="A48">
        <v>47</v>
      </c>
      <c r="B48" s="1">
        <v>44232</v>
      </c>
      <c r="C48" t="s">
        <v>19</v>
      </c>
      <c r="D48" t="s">
        <v>20</v>
      </c>
      <c r="E48">
        <v>89459845</v>
      </c>
      <c r="F48">
        <v>236719</v>
      </c>
      <c r="G48">
        <v>96930.6</v>
      </c>
      <c r="H48">
        <v>4504</v>
      </c>
      <c r="I48">
        <v>151</v>
      </c>
      <c r="J48">
        <v>23</v>
      </c>
      <c r="K48">
        <v>177882</v>
      </c>
      <c r="L48">
        <f t="shared" si="6"/>
        <v>4214.3739130434788</v>
      </c>
      <c r="M48">
        <f t="shared" si="1"/>
        <v>183.51480337478566</v>
      </c>
      <c r="N48">
        <f t="shared" si="2"/>
        <v>15.231788079470199</v>
      </c>
      <c r="O48">
        <f t="shared" si="3"/>
        <v>1.9026778585580371</v>
      </c>
    </row>
    <row r="49" spans="1:15" x14ac:dyDescent="0.3">
      <c r="A49">
        <v>48</v>
      </c>
      <c r="B49" s="1">
        <v>44232</v>
      </c>
      <c r="C49" t="s">
        <v>21</v>
      </c>
      <c r="D49" t="s">
        <v>20</v>
      </c>
      <c r="E49">
        <v>127823</v>
      </c>
      <c r="F49">
        <v>9914040</v>
      </c>
      <c r="G49">
        <v>56875.199999999997</v>
      </c>
      <c r="H49">
        <v>11993</v>
      </c>
      <c r="I49">
        <v>139</v>
      </c>
      <c r="J49">
        <v>14</v>
      </c>
      <c r="K49">
        <v>49644</v>
      </c>
      <c r="L49">
        <f t="shared" si="6"/>
        <v>4062.5142857142855</v>
      </c>
      <c r="M49">
        <f t="shared" si="1"/>
        <v>87.285846906911985</v>
      </c>
      <c r="N49">
        <f t="shared" si="2"/>
        <v>10.071942446043165</v>
      </c>
      <c r="O49">
        <f t="shared" si="3"/>
        <v>0.12096985688982494</v>
      </c>
    </row>
    <row r="50" spans="1:15" x14ac:dyDescent="0.3">
      <c r="A50">
        <v>49</v>
      </c>
      <c r="B50" s="1">
        <v>44232</v>
      </c>
      <c r="C50" t="s">
        <v>22</v>
      </c>
      <c r="D50" t="s">
        <v>23</v>
      </c>
      <c r="E50">
        <v>10934</v>
      </c>
      <c r="F50">
        <v>1965108</v>
      </c>
      <c r="G50">
        <v>442617</v>
      </c>
      <c r="H50">
        <v>22507</v>
      </c>
      <c r="I50">
        <v>731</v>
      </c>
      <c r="J50">
        <v>146</v>
      </c>
      <c r="K50">
        <v>1165230</v>
      </c>
      <c r="L50">
        <f t="shared" si="6"/>
        <v>3031.6232876712329</v>
      </c>
      <c r="M50">
        <f t="shared" si="1"/>
        <v>263.25920604043677</v>
      </c>
      <c r="N50">
        <f t="shared" si="2"/>
        <v>19.972640218878247</v>
      </c>
      <c r="O50">
        <f t="shared" si="3"/>
        <v>1.1453314525206757</v>
      </c>
    </row>
    <row r="51" spans="1:15" x14ac:dyDescent="0.3">
      <c r="A51">
        <v>50</v>
      </c>
      <c r="B51" s="1">
        <v>44232</v>
      </c>
      <c r="C51" t="s">
        <v>24</v>
      </c>
      <c r="D51" t="s">
        <v>17</v>
      </c>
      <c r="E51">
        <v>9034945</v>
      </c>
      <c r="F51">
        <v>7485780</v>
      </c>
      <c r="G51">
        <v>258306</v>
      </c>
      <c r="H51">
        <v>13498</v>
      </c>
      <c r="I51">
        <v>526</v>
      </c>
      <c r="J51">
        <v>76</v>
      </c>
      <c r="K51">
        <v>454556</v>
      </c>
      <c r="L51">
        <f t="shared" si="6"/>
        <v>3398.7631578947367</v>
      </c>
      <c r="M51">
        <f t="shared" si="1"/>
        <v>175.97578066324436</v>
      </c>
      <c r="N51">
        <f t="shared" si="2"/>
        <v>14.448669201520911</v>
      </c>
      <c r="O51">
        <f t="shared" si="3"/>
        <v>0.1803152109733388</v>
      </c>
    </row>
    <row r="52" spans="1:15" x14ac:dyDescent="0.3">
      <c r="A52">
        <v>51</v>
      </c>
      <c r="B52" s="1">
        <v>44232</v>
      </c>
      <c r="C52" t="s">
        <v>25</v>
      </c>
      <c r="D52" t="s">
        <v>17</v>
      </c>
      <c r="E52">
        <v>983498</v>
      </c>
      <c r="F52">
        <v>5100600</v>
      </c>
      <c r="G52">
        <v>13588.8</v>
      </c>
      <c r="H52">
        <v>25503</v>
      </c>
      <c r="I52">
        <v>765</v>
      </c>
      <c r="J52">
        <v>4</v>
      </c>
      <c r="K52">
        <v>7924</v>
      </c>
      <c r="L52">
        <f t="shared" si="6"/>
        <v>3397.2</v>
      </c>
      <c r="M52">
        <f t="shared" si="1"/>
        <v>58.31272812904745</v>
      </c>
      <c r="N52">
        <f t="shared" si="2"/>
        <v>0.52287581699346397</v>
      </c>
      <c r="O52">
        <f t="shared" si="3"/>
        <v>0.5</v>
      </c>
    </row>
    <row r="53" spans="1:15" x14ac:dyDescent="0.3">
      <c r="A53">
        <v>52</v>
      </c>
      <c r="B53" s="1">
        <v>44232</v>
      </c>
      <c r="C53" t="s">
        <v>26</v>
      </c>
      <c r="D53" t="s">
        <v>17</v>
      </c>
      <c r="E53">
        <v>4387490</v>
      </c>
      <c r="F53">
        <v>48954</v>
      </c>
      <c r="G53">
        <v>6790.74</v>
      </c>
      <c r="H53">
        <v>1505</v>
      </c>
      <c r="I53">
        <v>30</v>
      </c>
      <c r="J53">
        <v>5</v>
      </c>
      <c r="K53">
        <v>27060</v>
      </c>
      <c r="L53">
        <f t="shared" si="6"/>
        <v>1358.1479999999999</v>
      </c>
      <c r="M53">
        <f t="shared" si="1"/>
        <v>398.48381766935563</v>
      </c>
      <c r="N53">
        <f t="shared" si="2"/>
        <v>16.666666666666664</v>
      </c>
      <c r="O53">
        <f t="shared" si="3"/>
        <v>3.0743146627446172</v>
      </c>
    </row>
    <row r="54" spans="1:15" x14ac:dyDescent="0.3">
      <c r="A54">
        <v>53</v>
      </c>
      <c r="B54" s="1">
        <v>44232</v>
      </c>
      <c r="C54" t="s">
        <v>27</v>
      </c>
      <c r="D54" t="s">
        <v>17</v>
      </c>
      <c r="E54">
        <v>544756</v>
      </c>
      <c r="F54">
        <v>600400</v>
      </c>
      <c r="G54">
        <v>192789</v>
      </c>
      <c r="H54">
        <v>6004</v>
      </c>
      <c r="I54">
        <v>120</v>
      </c>
      <c r="J54">
        <v>21</v>
      </c>
      <c r="K54">
        <v>9492</v>
      </c>
      <c r="L54">
        <f t="shared" si="6"/>
        <v>9180.4285714285706</v>
      </c>
      <c r="M54">
        <f t="shared" si="1"/>
        <v>4.9235174205997234</v>
      </c>
      <c r="N54">
        <f t="shared" si="2"/>
        <v>17.5</v>
      </c>
      <c r="O54">
        <f t="shared" si="3"/>
        <v>1</v>
      </c>
    </row>
    <row r="55" spans="1:15" x14ac:dyDescent="0.3">
      <c r="A55">
        <v>54</v>
      </c>
      <c r="B55" s="1">
        <v>44232</v>
      </c>
      <c r="C55" t="s">
        <v>28</v>
      </c>
      <c r="D55" t="s">
        <v>23</v>
      </c>
      <c r="E55">
        <v>374754</v>
      </c>
      <c r="F55">
        <v>2153303</v>
      </c>
      <c r="G55">
        <v>36431.699999999997</v>
      </c>
      <c r="H55">
        <v>15003</v>
      </c>
      <c r="I55">
        <v>51</v>
      </c>
      <c r="J55">
        <v>8</v>
      </c>
      <c r="K55">
        <v>47816</v>
      </c>
      <c r="L55">
        <f t="shared" si="6"/>
        <v>4553.9624999999996</v>
      </c>
      <c r="M55">
        <f t="shared" si="1"/>
        <v>131.24833592722823</v>
      </c>
      <c r="N55">
        <f t="shared" si="2"/>
        <v>15.686274509803921</v>
      </c>
      <c r="O55">
        <f t="shared" si="3"/>
        <v>0.69674356093870671</v>
      </c>
    </row>
    <row r="56" spans="1:15" x14ac:dyDescent="0.3">
      <c r="A56">
        <v>55</v>
      </c>
      <c r="B56" s="1">
        <v>44232</v>
      </c>
      <c r="C56" t="s">
        <v>29</v>
      </c>
      <c r="D56" t="s">
        <v>30</v>
      </c>
      <c r="E56">
        <v>39889</v>
      </c>
      <c r="F56">
        <v>8238872</v>
      </c>
      <c r="G56">
        <v>427922</v>
      </c>
      <c r="H56">
        <v>20997</v>
      </c>
      <c r="I56">
        <v>796</v>
      </c>
      <c r="J56">
        <v>119</v>
      </c>
      <c r="K56">
        <v>471240</v>
      </c>
      <c r="L56">
        <f t="shared" si="6"/>
        <v>3595.9831932773109</v>
      </c>
      <c r="M56">
        <f t="shared" si="1"/>
        <v>110.12287286000719</v>
      </c>
      <c r="N56">
        <f t="shared" si="2"/>
        <v>14.949748743718594</v>
      </c>
      <c r="O56">
        <f t="shared" si="3"/>
        <v>0.25485284878803799</v>
      </c>
    </row>
    <row r="57" spans="1:15" x14ac:dyDescent="0.3">
      <c r="A57">
        <v>56</v>
      </c>
      <c r="B57" s="1">
        <v>44233</v>
      </c>
      <c r="C57" t="s">
        <v>16</v>
      </c>
      <c r="D57" t="s">
        <v>17</v>
      </c>
      <c r="E57">
        <v>349043</v>
      </c>
      <c r="F57">
        <v>310024</v>
      </c>
      <c r="G57">
        <v>40407.9</v>
      </c>
      <c r="H57">
        <v>2391</v>
      </c>
      <c r="I57">
        <v>76</v>
      </c>
      <c r="J57">
        <v>9</v>
      </c>
      <c r="K57">
        <v>46152</v>
      </c>
      <c r="L57">
        <f t="shared" si="6"/>
        <v>4489.7666666666664</v>
      </c>
      <c r="M57">
        <f t="shared" si="1"/>
        <v>114.21528958446243</v>
      </c>
      <c r="N57">
        <f t="shared" si="2"/>
        <v>11.842105263157894</v>
      </c>
      <c r="O57">
        <f t="shared" si="3"/>
        <v>0.77123061440404617</v>
      </c>
    </row>
    <row r="58" spans="1:15" x14ac:dyDescent="0.3">
      <c r="A58">
        <v>57</v>
      </c>
      <c r="B58" s="1">
        <v>44233</v>
      </c>
      <c r="C58" t="s">
        <v>18</v>
      </c>
      <c r="D58" t="s">
        <v>17</v>
      </c>
      <c r="E58">
        <v>348934</v>
      </c>
      <c r="F58">
        <v>448321</v>
      </c>
      <c r="G58">
        <v>62272.6</v>
      </c>
      <c r="H58">
        <v>3302</v>
      </c>
      <c r="I58">
        <v>108</v>
      </c>
      <c r="J58">
        <v>9</v>
      </c>
      <c r="K58">
        <v>44829</v>
      </c>
      <c r="L58">
        <f t="shared" si="6"/>
        <v>6919.1777777777779</v>
      </c>
      <c r="M58">
        <f t="shared" si="1"/>
        <v>71.988322311899623</v>
      </c>
      <c r="N58">
        <f t="shared" si="2"/>
        <v>8.3333333333333321</v>
      </c>
      <c r="O58">
        <f t="shared" si="3"/>
        <v>0.73652583751374567</v>
      </c>
    </row>
    <row r="59" spans="1:15" x14ac:dyDescent="0.3">
      <c r="A59">
        <v>58</v>
      </c>
      <c r="B59" s="1">
        <v>44233</v>
      </c>
      <c r="C59" t="s">
        <v>19</v>
      </c>
      <c r="D59" t="s">
        <v>20</v>
      </c>
      <c r="E59">
        <v>89459845</v>
      </c>
      <c r="F59">
        <v>44950</v>
      </c>
      <c r="G59">
        <v>6768.87</v>
      </c>
      <c r="H59">
        <v>899</v>
      </c>
      <c r="I59">
        <v>13</v>
      </c>
      <c r="J59">
        <v>1</v>
      </c>
      <c r="K59">
        <v>8136</v>
      </c>
      <c r="L59">
        <f t="shared" si="6"/>
        <v>6768.87</v>
      </c>
      <c r="M59">
        <f t="shared" si="1"/>
        <v>120.19731506145044</v>
      </c>
      <c r="N59">
        <f t="shared" si="2"/>
        <v>7.6923076923076925</v>
      </c>
      <c r="O59">
        <f t="shared" si="3"/>
        <v>2</v>
      </c>
    </row>
    <row r="60" spans="1:15" x14ac:dyDescent="0.3">
      <c r="A60">
        <v>59</v>
      </c>
      <c r="B60" s="1">
        <v>44233</v>
      </c>
      <c r="C60" t="s">
        <v>21</v>
      </c>
      <c r="D60" t="s">
        <v>20</v>
      </c>
      <c r="E60">
        <v>127823</v>
      </c>
      <c r="F60">
        <v>478400</v>
      </c>
      <c r="G60">
        <v>22542</v>
      </c>
      <c r="H60">
        <v>2392</v>
      </c>
      <c r="I60">
        <v>48</v>
      </c>
      <c r="J60">
        <v>6</v>
      </c>
      <c r="K60">
        <v>13152</v>
      </c>
      <c r="L60">
        <f t="shared" si="6"/>
        <v>3757</v>
      </c>
      <c r="M60">
        <f t="shared" si="1"/>
        <v>58.344423742347615</v>
      </c>
      <c r="N60">
        <f t="shared" si="2"/>
        <v>12.5</v>
      </c>
      <c r="O60">
        <f t="shared" si="3"/>
        <v>0.5</v>
      </c>
    </row>
    <row r="61" spans="1:15" x14ac:dyDescent="0.3">
      <c r="A61">
        <v>60</v>
      </c>
      <c r="B61" s="1">
        <v>44233</v>
      </c>
      <c r="C61" t="s">
        <v>22</v>
      </c>
      <c r="D61" t="s">
        <v>23</v>
      </c>
      <c r="E61">
        <v>10934</v>
      </c>
      <c r="F61">
        <v>472252</v>
      </c>
      <c r="G61">
        <v>80971.399999999994</v>
      </c>
      <c r="H61">
        <v>4508</v>
      </c>
      <c r="I61">
        <v>133</v>
      </c>
      <c r="J61">
        <v>27</v>
      </c>
      <c r="K61">
        <v>215487</v>
      </c>
      <c r="L61">
        <f t="shared" si="6"/>
        <v>2998.9407407407407</v>
      </c>
      <c r="M61">
        <f t="shared" si="1"/>
        <v>266.12729926863068</v>
      </c>
      <c r="N61">
        <f t="shared" si="2"/>
        <v>20.300751879699249</v>
      </c>
      <c r="O61">
        <f t="shared" si="3"/>
        <v>0.95457509973488719</v>
      </c>
    </row>
    <row r="62" spans="1:15" x14ac:dyDescent="0.3">
      <c r="A62">
        <v>61</v>
      </c>
      <c r="B62" s="1">
        <v>44233</v>
      </c>
      <c r="C62" t="s">
        <v>24</v>
      </c>
      <c r="D62" t="s">
        <v>17</v>
      </c>
      <c r="E62">
        <v>9034945</v>
      </c>
      <c r="F62">
        <v>425467</v>
      </c>
      <c r="G62">
        <v>3661.53</v>
      </c>
      <c r="H62">
        <v>2695</v>
      </c>
      <c r="I62">
        <v>14</v>
      </c>
      <c r="J62">
        <v>1</v>
      </c>
      <c r="K62">
        <v>5958</v>
      </c>
      <c r="L62">
        <f t="shared" si="6"/>
        <v>3661.53</v>
      </c>
      <c r="M62">
        <f t="shared" si="1"/>
        <v>162.71886342594487</v>
      </c>
      <c r="N62">
        <f t="shared" si="2"/>
        <v>7.1428571428571423</v>
      </c>
      <c r="O62">
        <f t="shared" si="3"/>
        <v>0.63342162846942296</v>
      </c>
    </row>
    <row r="63" spans="1:15" x14ac:dyDescent="0.3">
      <c r="A63">
        <v>62</v>
      </c>
      <c r="B63" s="1">
        <v>44233</v>
      </c>
      <c r="C63" t="s">
        <v>25</v>
      </c>
      <c r="D63" t="s">
        <v>17</v>
      </c>
      <c r="E63">
        <v>983498</v>
      </c>
      <c r="F63">
        <v>1589341</v>
      </c>
      <c r="G63">
        <v>12183.4</v>
      </c>
      <c r="H63">
        <v>5092</v>
      </c>
      <c r="I63">
        <v>102</v>
      </c>
      <c r="J63">
        <v>5</v>
      </c>
      <c r="K63">
        <v>12295</v>
      </c>
      <c r="L63">
        <f t="shared" si="6"/>
        <v>2436.6799999999998</v>
      </c>
      <c r="M63">
        <f t="shared" si="1"/>
        <v>100.91600045964182</v>
      </c>
      <c r="N63">
        <f t="shared" si="2"/>
        <v>4.9019607843137258</v>
      </c>
      <c r="O63">
        <f t="shared" si="3"/>
        <v>0.32038436056201913</v>
      </c>
    </row>
    <row r="64" spans="1:15" x14ac:dyDescent="0.3">
      <c r="A64">
        <v>63</v>
      </c>
      <c r="B64" s="1">
        <v>44233</v>
      </c>
      <c r="C64" t="s">
        <v>26</v>
      </c>
      <c r="D64" t="s">
        <v>17</v>
      </c>
      <c r="E64">
        <v>4387490</v>
      </c>
      <c r="F64">
        <v>10200</v>
      </c>
      <c r="G64">
        <v>1420.15</v>
      </c>
      <c r="H64">
        <v>306</v>
      </c>
      <c r="I64">
        <v>6</v>
      </c>
      <c r="J64">
        <v>1</v>
      </c>
      <c r="K64">
        <v>5492</v>
      </c>
      <c r="L64">
        <f t="shared" si="6"/>
        <v>1420.15</v>
      </c>
      <c r="M64">
        <f t="shared" si="1"/>
        <v>386.71971270640427</v>
      </c>
      <c r="N64">
        <f t="shared" si="2"/>
        <v>16.666666666666664</v>
      </c>
      <c r="O64">
        <f t="shared" si="3"/>
        <v>3</v>
      </c>
    </row>
    <row r="65" spans="1:15" x14ac:dyDescent="0.3">
      <c r="A65">
        <v>64</v>
      </c>
      <c r="B65" s="1">
        <v>44233</v>
      </c>
      <c r="C65" t="s">
        <v>27</v>
      </c>
      <c r="D65" t="s">
        <v>17</v>
      </c>
      <c r="E65">
        <v>544756</v>
      </c>
      <c r="F65">
        <v>119700</v>
      </c>
      <c r="G65">
        <v>29281</v>
      </c>
      <c r="H65">
        <v>1197</v>
      </c>
      <c r="I65">
        <v>24</v>
      </c>
      <c r="J65">
        <v>4</v>
      </c>
      <c r="K65">
        <v>6428</v>
      </c>
      <c r="L65">
        <f t="shared" si="6"/>
        <v>7320.25</v>
      </c>
      <c r="M65">
        <f t="shared" si="1"/>
        <v>21.952802158396228</v>
      </c>
      <c r="N65">
        <f t="shared" si="2"/>
        <v>16.666666666666664</v>
      </c>
      <c r="O65">
        <f t="shared" si="3"/>
        <v>1</v>
      </c>
    </row>
    <row r="66" spans="1:15" x14ac:dyDescent="0.3">
      <c r="A66">
        <v>65</v>
      </c>
      <c r="B66" s="1">
        <v>44233</v>
      </c>
      <c r="C66" t="s">
        <v>28</v>
      </c>
      <c r="D66" t="s">
        <v>23</v>
      </c>
      <c r="E66">
        <v>374754</v>
      </c>
      <c r="F66">
        <v>300700</v>
      </c>
      <c r="G66">
        <v>8289.2099999999991</v>
      </c>
      <c r="H66">
        <v>3007</v>
      </c>
      <c r="I66">
        <v>20</v>
      </c>
      <c r="J66">
        <v>2</v>
      </c>
      <c r="K66">
        <v>9450</v>
      </c>
      <c r="L66">
        <f t="shared" si="6"/>
        <v>4144.6049999999996</v>
      </c>
      <c r="M66">
        <f t="shared" si="1"/>
        <v>114.00362640106837</v>
      </c>
      <c r="N66">
        <f t="shared" si="2"/>
        <v>10</v>
      </c>
      <c r="O66">
        <f t="shared" si="3"/>
        <v>1</v>
      </c>
    </row>
    <row r="67" spans="1:15" x14ac:dyDescent="0.3">
      <c r="A67">
        <v>66</v>
      </c>
      <c r="B67" s="1">
        <v>44233</v>
      </c>
      <c r="C67" t="s">
        <v>29</v>
      </c>
      <c r="D67" t="s">
        <v>30</v>
      </c>
      <c r="E67">
        <v>39889</v>
      </c>
      <c r="F67">
        <v>42070000</v>
      </c>
      <c r="G67">
        <v>38185.199999999997</v>
      </c>
      <c r="H67">
        <v>4207</v>
      </c>
      <c r="I67">
        <v>84</v>
      </c>
      <c r="J67">
        <v>10</v>
      </c>
      <c r="K67">
        <v>48820</v>
      </c>
      <c r="L67">
        <f t="shared" si="6"/>
        <v>3818.5199999999995</v>
      </c>
      <c r="M67">
        <f t="shared" ref="M67:M130" si="8">(K67/G67)*100</f>
        <v>127.85058085331491</v>
      </c>
      <c r="N67">
        <f t="shared" ref="N67:N130" si="9">(J67/I67)*100</f>
        <v>11.904761904761903</v>
      </c>
      <c r="O67">
        <f t="shared" ref="O67:O130" si="10">H67/F67*100</f>
        <v>0.01</v>
      </c>
    </row>
    <row r="68" spans="1:15" x14ac:dyDescent="0.3">
      <c r="A68">
        <v>67</v>
      </c>
      <c r="B68" s="1">
        <v>44234</v>
      </c>
      <c r="C68" t="s">
        <v>16</v>
      </c>
      <c r="D68" t="s">
        <v>17</v>
      </c>
      <c r="E68">
        <v>349043</v>
      </c>
      <c r="F68">
        <v>478000</v>
      </c>
      <c r="G68">
        <v>27314.400000000001</v>
      </c>
      <c r="H68">
        <v>2390</v>
      </c>
      <c r="I68">
        <v>45</v>
      </c>
      <c r="J68">
        <v>5</v>
      </c>
      <c r="K68">
        <v>24905</v>
      </c>
      <c r="L68">
        <f t="shared" si="6"/>
        <v>5462.88</v>
      </c>
      <c r="M68">
        <f t="shared" si="8"/>
        <v>91.179011803297897</v>
      </c>
      <c r="N68">
        <f t="shared" si="9"/>
        <v>11.111111111111111</v>
      </c>
      <c r="O68">
        <f t="shared" si="10"/>
        <v>0.5</v>
      </c>
    </row>
    <row r="69" spans="1:15" x14ac:dyDescent="0.3">
      <c r="A69">
        <v>68</v>
      </c>
      <c r="B69" s="1">
        <v>44234</v>
      </c>
      <c r="C69" t="s">
        <v>18</v>
      </c>
      <c r="D69" t="s">
        <v>17</v>
      </c>
      <c r="E69">
        <v>348934</v>
      </c>
      <c r="F69">
        <v>659000</v>
      </c>
      <c r="G69">
        <v>38485.599999999999</v>
      </c>
      <c r="H69">
        <v>3295</v>
      </c>
      <c r="I69">
        <v>66</v>
      </c>
      <c r="J69">
        <v>5</v>
      </c>
      <c r="K69">
        <v>23735</v>
      </c>
      <c r="L69">
        <f t="shared" si="6"/>
        <v>7697.12</v>
      </c>
      <c r="M69">
        <f t="shared" si="8"/>
        <v>61.672417735464691</v>
      </c>
      <c r="N69">
        <f t="shared" si="9"/>
        <v>7.5757575757575761</v>
      </c>
      <c r="O69">
        <f t="shared" si="10"/>
        <v>0.5</v>
      </c>
    </row>
    <row r="70" spans="1:15" x14ac:dyDescent="0.3">
      <c r="A70">
        <v>69</v>
      </c>
      <c r="B70" s="1">
        <v>44234</v>
      </c>
      <c r="C70" t="s">
        <v>19</v>
      </c>
      <c r="D70" t="s">
        <v>20</v>
      </c>
      <c r="E70">
        <v>89459845</v>
      </c>
      <c r="F70">
        <v>44650</v>
      </c>
      <c r="G70">
        <v>6426</v>
      </c>
      <c r="H70">
        <v>893</v>
      </c>
      <c r="I70">
        <v>18</v>
      </c>
      <c r="J70">
        <v>2</v>
      </c>
      <c r="K70">
        <v>14152</v>
      </c>
      <c r="L70">
        <f t="shared" si="6"/>
        <v>3213</v>
      </c>
      <c r="M70">
        <f t="shared" si="8"/>
        <v>220.23031434796141</v>
      </c>
      <c r="N70">
        <f t="shared" si="9"/>
        <v>11.111111111111111</v>
      </c>
      <c r="O70">
        <f t="shared" si="10"/>
        <v>2</v>
      </c>
    </row>
    <row r="71" spans="1:15" x14ac:dyDescent="0.3">
      <c r="A71">
        <v>70</v>
      </c>
      <c r="B71" s="1">
        <v>44234</v>
      </c>
      <c r="C71" t="s">
        <v>21</v>
      </c>
      <c r="D71" t="s">
        <v>20</v>
      </c>
      <c r="E71">
        <v>127823</v>
      </c>
      <c r="F71">
        <v>1137473</v>
      </c>
      <c r="G71">
        <v>18102.099999999999</v>
      </c>
      <c r="H71">
        <v>2404</v>
      </c>
      <c r="I71">
        <v>48</v>
      </c>
      <c r="J71">
        <v>5</v>
      </c>
      <c r="K71">
        <v>17845</v>
      </c>
      <c r="L71">
        <f t="shared" si="6"/>
        <v>3620.4199999999996</v>
      </c>
      <c r="M71">
        <f t="shared" si="8"/>
        <v>98.579722794592911</v>
      </c>
      <c r="N71">
        <f t="shared" si="9"/>
        <v>10.416666666666668</v>
      </c>
      <c r="O71">
        <f t="shared" si="10"/>
        <v>0.21134567589736197</v>
      </c>
    </row>
    <row r="72" spans="1:15" x14ac:dyDescent="0.3">
      <c r="A72">
        <v>71</v>
      </c>
      <c r="B72" s="1">
        <v>44234</v>
      </c>
      <c r="C72" t="s">
        <v>22</v>
      </c>
      <c r="D72" t="s">
        <v>23</v>
      </c>
      <c r="E72">
        <v>10934</v>
      </c>
      <c r="F72">
        <v>694624</v>
      </c>
      <c r="G72">
        <v>31680.1</v>
      </c>
      <c r="H72">
        <v>4505</v>
      </c>
      <c r="I72">
        <v>82</v>
      </c>
      <c r="J72">
        <v>15</v>
      </c>
      <c r="K72">
        <v>119715</v>
      </c>
      <c r="L72">
        <f t="shared" si="6"/>
        <v>2112.0066666666667</v>
      </c>
      <c r="M72">
        <f t="shared" si="8"/>
        <v>377.88706475042693</v>
      </c>
      <c r="N72">
        <f t="shared" si="9"/>
        <v>18.292682926829269</v>
      </c>
      <c r="O72">
        <f t="shared" si="10"/>
        <v>0.64855231031464511</v>
      </c>
    </row>
    <row r="73" spans="1:15" x14ac:dyDescent="0.3">
      <c r="A73">
        <v>72</v>
      </c>
      <c r="B73" s="1">
        <v>44234</v>
      </c>
      <c r="C73" t="s">
        <v>24</v>
      </c>
      <c r="D73" t="s">
        <v>17</v>
      </c>
      <c r="E73">
        <v>9034945</v>
      </c>
      <c r="F73">
        <v>1246126</v>
      </c>
      <c r="G73">
        <v>37965.9</v>
      </c>
      <c r="H73">
        <v>2696</v>
      </c>
      <c r="I73">
        <v>100</v>
      </c>
      <c r="J73">
        <v>11</v>
      </c>
      <c r="K73">
        <v>65791</v>
      </c>
      <c r="L73">
        <f t="shared" si="6"/>
        <v>3451.4454545454546</v>
      </c>
      <c r="M73">
        <f t="shared" si="8"/>
        <v>173.28971524446936</v>
      </c>
      <c r="N73">
        <f t="shared" si="9"/>
        <v>11</v>
      </c>
      <c r="O73">
        <f t="shared" si="10"/>
        <v>0.21635051351147475</v>
      </c>
    </row>
    <row r="74" spans="1:15" x14ac:dyDescent="0.3">
      <c r="A74">
        <v>73</v>
      </c>
      <c r="B74" s="1">
        <v>44234</v>
      </c>
      <c r="C74" t="s">
        <v>25</v>
      </c>
      <c r="D74" t="s">
        <v>17</v>
      </c>
      <c r="E74">
        <v>983498</v>
      </c>
      <c r="F74">
        <v>567096</v>
      </c>
      <c r="G74">
        <v>6747.94</v>
      </c>
      <c r="H74">
        <v>5103</v>
      </c>
      <c r="I74">
        <v>199</v>
      </c>
      <c r="J74">
        <v>2</v>
      </c>
      <c r="K74">
        <v>3962</v>
      </c>
      <c r="L74">
        <f t="shared" si="6"/>
        <v>3373.97</v>
      </c>
      <c r="M74">
        <f t="shared" si="8"/>
        <v>58.71421500487557</v>
      </c>
      <c r="N74">
        <f t="shared" si="9"/>
        <v>1.0050251256281406</v>
      </c>
      <c r="O74">
        <f t="shared" si="10"/>
        <v>0.89984764484320123</v>
      </c>
    </row>
    <row r="75" spans="1:15" x14ac:dyDescent="0.3">
      <c r="A75">
        <v>74</v>
      </c>
      <c r="B75" s="1">
        <v>44234</v>
      </c>
      <c r="C75" t="s">
        <v>26</v>
      </c>
      <c r="D75" t="s">
        <v>17</v>
      </c>
      <c r="E75">
        <v>4387490</v>
      </c>
      <c r="F75">
        <v>9938</v>
      </c>
      <c r="G75">
        <v>3435.44</v>
      </c>
      <c r="H75">
        <v>294</v>
      </c>
      <c r="I75">
        <v>6</v>
      </c>
      <c r="J75">
        <v>1</v>
      </c>
      <c r="K75">
        <v>4981</v>
      </c>
      <c r="L75">
        <f t="shared" si="6"/>
        <v>3435.44</v>
      </c>
      <c r="M75">
        <f t="shared" si="8"/>
        <v>144.988705959062</v>
      </c>
      <c r="N75">
        <f t="shared" si="9"/>
        <v>16.666666666666664</v>
      </c>
      <c r="O75">
        <f t="shared" si="10"/>
        <v>2.9583417186556651</v>
      </c>
    </row>
    <row r="76" spans="1:15" x14ac:dyDescent="0.3">
      <c r="A76">
        <v>75</v>
      </c>
      <c r="B76" s="1">
        <v>44234</v>
      </c>
      <c r="C76" t="s">
        <v>27</v>
      </c>
      <c r="D76" t="s">
        <v>17</v>
      </c>
      <c r="E76">
        <v>544756</v>
      </c>
      <c r="F76">
        <v>174221</v>
      </c>
      <c r="G76">
        <v>10104.9</v>
      </c>
      <c r="H76">
        <v>1197</v>
      </c>
      <c r="I76">
        <v>6</v>
      </c>
      <c r="J76">
        <v>1</v>
      </c>
      <c r="K76">
        <v>981</v>
      </c>
      <c r="L76">
        <f t="shared" si="6"/>
        <v>10104.9</v>
      </c>
      <c r="M76">
        <f t="shared" si="8"/>
        <v>9.7081613870498469</v>
      </c>
      <c r="N76">
        <f t="shared" si="9"/>
        <v>16.666666666666664</v>
      </c>
      <c r="O76">
        <f t="shared" si="10"/>
        <v>0.68705839135351077</v>
      </c>
    </row>
    <row r="77" spans="1:15" x14ac:dyDescent="0.3">
      <c r="A77">
        <v>76</v>
      </c>
      <c r="B77" s="1">
        <v>44234</v>
      </c>
      <c r="C77" t="s">
        <v>28</v>
      </c>
      <c r="D77" t="s">
        <v>23</v>
      </c>
      <c r="E77">
        <v>374754</v>
      </c>
      <c r="F77">
        <v>300700</v>
      </c>
      <c r="G77">
        <v>46167.6</v>
      </c>
      <c r="H77">
        <v>3007</v>
      </c>
      <c r="I77">
        <v>93</v>
      </c>
      <c r="J77">
        <v>12</v>
      </c>
      <c r="K77">
        <v>68076</v>
      </c>
      <c r="L77">
        <f t="shared" si="6"/>
        <v>3847.2999999999997</v>
      </c>
      <c r="M77">
        <f t="shared" si="8"/>
        <v>147.45405869051024</v>
      </c>
      <c r="N77">
        <f t="shared" si="9"/>
        <v>12.903225806451612</v>
      </c>
      <c r="O77">
        <f t="shared" si="10"/>
        <v>1</v>
      </c>
    </row>
    <row r="78" spans="1:15" x14ac:dyDescent="0.3">
      <c r="A78">
        <v>77</v>
      </c>
      <c r="B78" s="1">
        <v>44234</v>
      </c>
      <c r="C78" t="s">
        <v>29</v>
      </c>
      <c r="D78" t="s">
        <v>30</v>
      </c>
      <c r="E78">
        <v>39889</v>
      </c>
      <c r="F78">
        <v>3957603</v>
      </c>
      <c r="G78">
        <v>79987.7</v>
      </c>
      <c r="H78">
        <v>4203</v>
      </c>
      <c r="I78">
        <v>142</v>
      </c>
      <c r="J78">
        <v>27</v>
      </c>
      <c r="K78">
        <v>90504</v>
      </c>
      <c r="L78">
        <f t="shared" si="6"/>
        <v>2962.5074074074073</v>
      </c>
      <c r="M78">
        <f t="shared" si="8"/>
        <v>113.14739641219838</v>
      </c>
      <c r="N78">
        <f t="shared" si="9"/>
        <v>19.014084507042252</v>
      </c>
      <c r="O78">
        <f t="shared" si="10"/>
        <v>0.10620064720993996</v>
      </c>
    </row>
    <row r="79" spans="1:15" x14ac:dyDescent="0.3">
      <c r="A79">
        <v>78</v>
      </c>
      <c r="B79" s="1">
        <v>44235</v>
      </c>
      <c r="C79" t="s">
        <v>16</v>
      </c>
      <c r="D79" t="s">
        <v>17</v>
      </c>
      <c r="E79">
        <v>349043</v>
      </c>
      <c r="F79">
        <v>479000</v>
      </c>
      <c r="G79">
        <v>27210.400000000001</v>
      </c>
      <c r="H79">
        <v>2395</v>
      </c>
      <c r="I79">
        <v>36</v>
      </c>
      <c r="J79">
        <v>5</v>
      </c>
      <c r="K79">
        <v>22345</v>
      </c>
      <c r="L79">
        <f t="shared" si="6"/>
        <v>5442.08</v>
      </c>
      <c r="M79">
        <f t="shared" si="8"/>
        <v>82.119336724193687</v>
      </c>
      <c r="N79">
        <f t="shared" si="9"/>
        <v>13.888888888888889</v>
      </c>
      <c r="O79">
        <f t="shared" si="10"/>
        <v>0.5</v>
      </c>
    </row>
    <row r="80" spans="1:15" x14ac:dyDescent="0.3">
      <c r="A80">
        <v>79</v>
      </c>
      <c r="B80" s="1">
        <v>44235</v>
      </c>
      <c r="C80" t="s">
        <v>18</v>
      </c>
      <c r="D80" t="s">
        <v>17</v>
      </c>
      <c r="E80">
        <v>348934</v>
      </c>
      <c r="F80">
        <v>472656</v>
      </c>
      <c r="G80">
        <v>33752.800000000003</v>
      </c>
      <c r="H80">
        <v>3290</v>
      </c>
      <c r="I80">
        <v>66</v>
      </c>
      <c r="J80">
        <v>5</v>
      </c>
      <c r="K80">
        <v>28670</v>
      </c>
      <c r="L80">
        <f t="shared" ref="L80:L143" si="11">G80/J80</f>
        <v>6750.56</v>
      </c>
      <c r="M80">
        <f t="shared" si="8"/>
        <v>84.941101182716679</v>
      </c>
      <c r="N80">
        <f t="shared" si="9"/>
        <v>7.5757575757575761</v>
      </c>
      <c r="O80">
        <f t="shared" si="10"/>
        <v>0.69606648386987569</v>
      </c>
    </row>
    <row r="81" spans="1:15" x14ac:dyDescent="0.3">
      <c r="A81">
        <v>80</v>
      </c>
      <c r="B81" s="1">
        <v>44235</v>
      </c>
      <c r="C81" t="s">
        <v>19</v>
      </c>
      <c r="D81" t="s">
        <v>20</v>
      </c>
      <c r="E81">
        <v>89459845</v>
      </c>
      <c r="F81">
        <v>51350</v>
      </c>
      <c r="G81">
        <v>6918.85</v>
      </c>
      <c r="H81">
        <v>904</v>
      </c>
      <c r="I81">
        <v>20</v>
      </c>
      <c r="J81">
        <v>2</v>
      </c>
      <c r="K81">
        <v>16240</v>
      </c>
      <c r="L81">
        <f t="shared" si="11"/>
        <v>3459.4250000000002</v>
      </c>
      <c r="M81">
        <f t="shared" si="8"/>
        <v>234.7210880420879</v>
      </c>
      <c r="N81">
        <f t="shared" si="9"/>
        <v>10</v>
      </c>
      <c r="O81">
        <f t="shared" si="10"/>
        <v>1.7604673807205453</v>
      </c>
    </row>
    <row r="82" spans="1:15" x14ac:dyDescent="0.3">
      <c r="A82">
        <v>81</v>
      </c>
      <c r="B82" s="1">
        <v>44235</v>
      </c>
      <c r="C82" t="s">
        <v>21</v>
      </c>
      <c r="D82" t="s">
        <v>20</v>
      </c>
      <c r="E82">
        <v>127823</v>
      </c>
      <c r="F82">
        <v>478000</v>
      </c>
      <c r="G82">
        <v>16567.5</v>
      </c>
      <c r="H82">
        <v>2390</v>
      </c>
      <c r="I82">
        <v>48</v>
      </c>
      <c r="J82">
        <v>5</v>
      </c>
      <c r="K82">
        <v>16995</v>
      </c>
      <c r="L82">
        <f t="shared" si="11"/>
        <v>3313.5</v>
      </c>
      <c r="M82">
        <f t="shared" si="8"/>
        <v>102.58035310095066</v>
      </c>
      <c r="N82">
        <f t="shared" si="9"/>
        <v>10.416666666666668</v>
      </c>
      <c r="O82">
        <f t="shared" si="10"/>
        <v>0.5</v>
      </c>
    </row>
    <row r="83" spans="1:15" x14ac:dyDescent="0.3">
      <c r="A83">
        <v>82</v>
      </c>
      <c r="B83" s="1">
        <v>44235</v>
      </c>
      <c r="C83" t="s">
        <v>22</v>
      </c>
      <c r="D83" t="s">
        <v>23</v>
      </c>
      <c r="E83">
        <v>10934</v>
      </c>
      <c r="F83">
        <v>685530</v>
      </c>
      <c r="G83">
        <v>33892.6</v>
      </c>
      <c r="H83">
        <v>4491</v>
      </c>
      <c r="I83">
        <v>79</v>
      </c>
      <c r="J83">
        <v>16</v>
      </c>
      <c r="K83">
        <v>120176</v>
      </c>
      <c r="L83">
        <f t="shared" si="11"/>
        <v>2118.2874999999999</v>
      </c>
      <c r="M83">
        <f t="shared" si="8"/>
        <v>354.57887562476765</v>
      </c>
      <c r="N83">
        <f t="shared" si="9"/>
        <v>20.253164556962027</v>
      </c>
      <c r="O83">
        <f t="shared" si="10"/>
        <v>0.65511356176972557</v>
      </c>
    </row>
    <row r="84" spans="1:15" x14ac:dyDescent="0.3">
      <c r="A84">
        <v>83</v>
      </c>
      <c r="B84" s="1">
        <v>44235</v>
      </c>
      <c r="C84" t="s">
        <v>24</v>
      </c>
      <c r="D84" t="s">
        <v>17</v>
      </c>
      <c r="E84">
        <v>9034945</v>
      </c>
      <c r="F84">
        <v>472836</v>
      </c>
      <c r="G84">
        <v>330.76</v>
      </c>
      <c r="H84">
        <v>2690</v>
      </c>
      <c r="I84">
        <v>1</v>
      </c>
      <c r="J84">
        <v>0</v>
      </c>
      <c r="K84">
        <v>0</v>
      </c>
      <c r="L84">
        <v>0</v>
      </c>
      <c r="M84">
        <f t="shared" si="8"/>
        <v>0</v>
      </c>
      <c r="N84">
        <f t="shared" si="9"/>
        <v>0</v>
      </c>
      <c r="O84">
        <f t="shared" si="10"/>
        <v>0.56890761278752033</v>
      </c>
    </row>
    <row r="85" spans="1:15" x14ac:dyDescent="0.3">
      <c r="A85">
        <v>84</v>
      </c>
      <c r="B85" s="1">
        <v>44235</v>
      </c>
      <c r="C85" t="s">
        <v>25</v>
      </c>
      <c r="D85" t="s">
        <v>17</v>
      </c>
      <c r="E85">
        <v>983498</v>
      </c>
      <c r="F85">
        <v>1020000</v>
      </c>
      <c r="G85">
        <v>2057.3000000000002</v>
      </c>
      <c r="H85">
        <v>5100</v>
      </c>
      <c r="I85">
        <v>102</v>
      </c>
      <c r="J85">
        <v>1</v>
      </c>
      <c r="K85">
        <v>1981</v>
      </c>
      <c r="L85">
        <f t="shared" si="11"/>
        <v>2057.3000000000002</v>
      </c>
      <c r="M85">
        <f t="shared" si="8"/>
        <v>96.291255529091529</v>
      </c>
      <c r="N85">
        <f t="shared" si="9"/>
        <v>0.98039215686274506</v>
      </c>
      <c r="O85">
        <f t="shared" si="10"/>
        <v>0.5</v>
      </c>
    </row>
    <row r="86" spans="1:15" x14ac:dyDescent="0.3">
      <c r="A86">
        <v>85</v>
      </c>
      <c r="B86" s="1">
        <v>44235</v>
      </c>
      <c r="C86" t="s">
        <v>26</v>
      </c>
      <c r="D86" t="s">
        <v>17</v>
      </c>
      <c r="E86">
        <v>4387490</v>
      </c>
      <c r="F86">
        <v>10067</v>
      </c>
      <c r="G86">
        <v>4336.04</v>
      </c>
      <c r="H86">
        <v>302</v>
      </c>
      <c r="I86">
        <v>10</v>
      </c>
      <c r="J86">
        <v>2</v>
      </c>
      <c r="K86">
        <v>10036</v>
      </c>
      <c r="L86">
        <f t="shared" si="11"/>
        <v>2168.02</v>
      </c>
      <c r="M86">
        <f t="shared" si="8"/>
        <v>231.45542937795778</v>
      </c>
      <c r="N86">
        <f t="shared" si="9"/>
        <v>20</v>
      </c>
      <c r="O86">
        <f t="shared" si="10"/>
        <v>2.999900665540876</v>
      </c>
    </row>
    <row r="87" spans="1:15" x14ac:dyDescent="0.3">
      <c r="A87">
        <v>86</v>
      </c>
      <c r="B87" s="1">
        <v>44235</v>
      </c>
      <c r="C87" t="s">
        <v>27</v>
      </c>
      <c r="D87" t="s">
        <v>17</v>
      </c>
      <c r="E87">
        <v>544756</v>
      </c>
      <c r="F87">
        <v>120200</v>
      </c>
      <c r="G87">
        <v>40099</v>
      </c>
      <c r="H87">
        <v>1202</v>
      </c>
      <c r="I87">
        <v>24</v>
      </c>
      <c r="J87">
        <v>5</v>
      </c>
      <c r="K87">
        <v>4905</v>
      </c>
      <c r="L87">
        <f t="shared" si="11"/>
        <v>8019.8</v>
      </c>
      <c r="M87">
        <f t="shared" si="8"/>
        <v>12.23222524252475</v>
      </c>
      <c r="N87">
        <f t="shared" si="9"/>
        <v>20.833333333333336</v>
      </c>
      <c r="O87">
        <f t="shared" si="10"/>
        <v>1</v>
      </c>
    </row>
    <row r="88" spans="1:15" x14ac:dyDescent="0.3">
      <c r="A88">
        <v>87</v>
      </c>
      <c r="B88" s="1">
        <v>44235</v>
      </c>
      <c r="C88" t="s">
        <v>28</v>
      </c>
      <c r="D88" t="s">
        <v>23</v>
      </c>
      <c r="E88">
        <v>374754</v>
      </c>
      <c r="F88">
        <v>361650</v>
      </c>
      <c r="G88">
        <v>31154.3</v>
      </c>
      <c r="H88">
        <v>2991</v>
      </c>
      <c r="I88">
        <v>60</v>
      </c>
      <c r="J88">
        <v>9</v>
      </c>
      <c r="K88">
        <v>45027</v>
      </c>
      <c r="L88">
        <f t="shared" si="11"/>
        <v>3461.588888888889</v>
      </c>
      <c r="M88">
        <f t="shared" si="8"/>
        <v>144.52900562683163</v>
      </c>
      <c r="N88">
        <f t="shared" si="9"/>
        <v>15</v>
      </c>
      <c r="O88">
        <f t="shared" si="10"/>
        <v>0.82704272086271269</v>
      </c>
    </row>
    <row r="89" spans="1:15" x14ac:dyDescent="0.3">
      <c r="A89">
        <v>88</v>
      </c>
      <c r="B89" s="1">
        <v>44235</v>
      </c>
      <c r="C89" t="s">
        <v>29</v>
      </c>
      <c r="D89" t="s">
        <v>30</v>
      </c>
      <c r="E89">
        <v>39889</v>
      </c>
      <c r="F89">
        <v>2233790</v>
      </c>
      <c r="G89">
        <v>31883.9</v>
      </c>
      <c r="H89">
        <v>4197</v>
      </c>
      <c r="I89">
        <v>84</v>
      </c>
      <c r="J89">
        <v>10</v>
      </c>
      <c r="K89">
        <v>42280</v>
      </c>
      <c r="L89">
        <f t="shared" si="11"/>
        <v>3188.3900000000003</v>
      </c>
      <c r="M89">
        <f t="shared" si="8"/>
        <v>132.60611154846177</v>
      </c>
      <c r="N89">
        <f t="shared" si="9"/>
        <v>11.904761904761903</v>
      </c>
      <c r="O89">
        <f t="shared" si="10"/>
        <v>0.18788695445856593</v>
      </c>
    </row>
    <row r="90" spans="1:15" x14ac:dyDescent="0.3">
      <c r="A90">
        <v>89</v>
      </c>
      <c r="B90" s="1">
        <v>44236</v>
      </c>
      <c r="C90" t="s">
        <v>16</v>
      </c>
      <c r="D90" t="s">
        <v>17</v>
      </c>
      <c r="E90">
        <v>349043</v>
      </c>
      <c r="F90">
        <v>478600</v>
      </c>
      <c r="G90">
        <v>49036.5</v>
      </c>
      <c r="H90">
        <v>2393</v>
      </c>
      <c r="I90">
        <v>68</v>
      </c>
      <c r="J90">
        <v>9</v>
      </c>
      <c r="K90">
        <v>42813</v>
      </c>
      <c r="L90">
        <f t="shared" si="11"/>
        <v>5448.5</v>
      </c>
      <c r="M90">
        <f t="shared" si="8"/>
        <v>87.308433513811138</v>
      </c>
      <c r="N90">
        <f t="shared" si="9"/>
        <v>13.23529411764706</v>
      </c>
      <c r="O90">
        <f t="shared" si="10"/>
        <v>0.5</v>
      </c>
    </row>
    <row r="91" spans="1:15" x14ac:dyDescent="0.3">
      <c r="A91">
        <v>90</v>
      </c>
      <c r="B91" s="1">
        <v>44236</v>
      </c>
      <c r="C91" t="s">
        <v>18</v>
      </c>
      <c r="D91" t="s">
        <v>17</v>
      </c>
      <c r="E91">
        <v>348934</v>
      </c>
      <c r="F91">
        <v>555116</v>
      </c>
      <c r="G91">
        <v>62119.4</v>
      </c>
      <c r="H91">
        <v>3303</v>
      </c>
      <c r="I91">
        <v>96</v>
      </c>
      <c r="J91">
        <v>11</v>
      </c>
      <c r="K91">
        <v>54791</v>
      </c>
      <c r="L91">
        <f t="shared" si="11"/>
        <v>5647.2181818181816</v>
      </c>
      <c r="M91">
        <f t="shared" si="8"/>
        <v>88.202719279323361</v>
      </c>
      <c r="N91">
        <f t="shared" si="9"/>
        <v>11.458333333333332</v>
      </c>
      <c r="O91">
        <f t="shared" si="10"/>
        <v>0.59501077252322032</v>
      </c>
    </row>
    <row r="92" spans="1:15" x14ac:dyDescent="0.3">
      <c r="A92">
        <v>91</v>
      </c>
      <c r="B92" s="1">
        <v>44236</v>
      </c>
      <c r="C92" t="s">
        <v>19</v>
      </c>
      <c r="D92" t="s">
        <v>20</v>
      </c>
      <c r="E92">
        <v>89459845</v>
      </c>
      <c r="F92">
        <v>44900</v>
      </c>
      <c r="G92">
        <v>3095.21</v>
      </c>
      <c r="H92">
        <v>898</v>
      </c>
      <c r="I92">
        <v>5</v>
      </c>
      <c r="J92">
        <v>1</v>
      </c>
      <c r="K92">
        <v>7998</v>
      </c>
      <c r="L92">
        <f t="shared" si="11"/>
        <v>3095.21</v>
      </c>
      <c r="M92">
        <f t="shared" si="8"/>
        <v>258.39926854720682</v>
      </c>
      <c r="N92">
        <f t="shared" si="9"/>
        <v>20</v>
      </c>
      <c r="O92">
        <f t="shared" si="10"/>
        <v>2</v>
      </c>
    </row>
    <row r="93" spans="1:15" x14ac:dyDescent="0.3">
      <c r="A93">
        <v>92</v>
      </c>
      <c r="B93" s="1">
        <v>44236</v>
      </c>
      <c r="C93" t="s">
        <v>21</v>
      </c>
      <c r="D93" t="s">
        <v>20</v>
      </c>
      <c r="E93">
        <v>127823</v>
      </c>
      <c r="F93">
        <v>478600</v>
      </c>
      <c r="G93">
        <v>20299.3</v>
      </c>
      <c r="H93">
        <v>2393</v>
      </c>
      <c r="I93">
        <v>48</v>
      </c>
      <c r="J93">
        <v>5</v>
      </c>
      <c r="K93">
        <v>14905</v>
      </c>
      <c r="L93">
        <f t="shared" si="11"/>
        <v>4059.8599999999997</v>
      </c>
      <c r="M93">
        <f t="shared" si="8"/>
        <v>73.426177257343852</v>
      </c>
      <c r="N93">
        <f t="shared" si="9"/>
        <v>10.416666666666668</v>
      </c>
      <c r="O93">
        <f t="shared" si="10"/>
        <v>0.5</v>
      </c>
    </row>
    <row r="94" spans="1:15" x14ac:dyDescent="0.3">
      <c r="A94">
        <v>93</v>
      </c>
      <c r="B94" s="1">
        <v>44236</v>
      </c>
      <c r="C94" t="s">
        <v>22</v>
      </c>
      <c r="D94" t="s">
        <v>23</v>
      </c>
      <c r="E94">
        <v>10934</v>
      </c>
      <c r="F94">
        <v>491821</v>
      </c>
      <c r="G94">
        <v>27833</v>
      </c>
      <c r="H94">
        <v>4495</v>
      </c>
      <c r="I94">
        <v>90</v>
      </c>
      <c r="J94">
        <v>18</v>
      </c>
      <c r="K94">
        <v>143658</v>
      </c>
      <c r="L94">
        <f t="shared" si="11"/>
        <v>1546.2777777777778</v>
      </c>
      <c r="M94">
        <f t="shared" si="8"/>
        <v>516.14270829590771</v>
      </c>
      <c r="N94">
        <f t="shared" si="9"/>
        <v>20</v>
      </c>
      <c r="O94">
        <f t="shared" si="10"/>
        <v>0.91395040065389654</v>
      </c>
    </row>
    <row r="95" spans="1:15" x14ac:dyDescent="0.3">
      <c r="A95">
        <v>94</v>
      </c>
      <c r="B95" s="1">
        <v>44236</v>
      </c>
      <c r="C95" t="s">
        <v>24</v>
      </c>
      <c r="D95" t="s">
        <v>17</v>
      </c>
      <c r="E95">
        <v>9034945</v>
      </c>
      <c r="F95">
        <v>759532</v>
      </c>
      <c r="G95">
        <v>10317</v>
      </c>
      <c r="H95">
        <v>2701</v>
      </c>
      <c r="I95">
        <v>19</v>
      </c>
      <c r="J95">
        <v>3</v>
      </c>
      <c r="K95">
        <v>19800</v>
      </c>
      <c r="L95">
        <f t="shared" si="11"/>
        <v>3439</v>
      </c>
      <c r="M95">
        <f t="shared" si="8"/>
        <v>191.91625472521082</v>
      </c>
      <c r="N95">
        <f t="shared" si="9"/>
        <v>15.789473684210526</v>
      </c>
      <c r="O95">
        <f t="shared" si="10"/>
        <v>0.35561372002759595</v>
      </c>
    </row>
    <row r="96" spans="1:15" x14ac:dyDescent="0.3">
      <c r="A96">
        <v>95</v>
      </c>
      <c r="B96" s="1">
        <v>44236</v>
      </c>
      <c r="C96" t="s">
        <v>25</v>
      </c>
      <c r="D96" t="s">
        <v>17</v>
      </c>
      <c r="E96">
        <v>983498</v>
      </c>
      <c r="F96">
        <v>1022000</v>
      </c>
      <c r="G96">
        <v>7398.26</v>
      </c>
      <c r="H96">
        <v>5110</v>
      </c>
      <c r="I96">
        <v>102</v>
      </c>
      <c r="J96">
        <v>3</v>
      </c>
      <c r="K96">
        <v>5943</v>
      </c>
      <c r="L96">
        <f t="shared" si="11"/>
        <v>2466.0866666666666</v>
      </c>
      <c r="M96">
        <f t="shared" si="8"/>
        <v>80.329699145474748</v>
      </c>
      <c r="N96">
        <f t="shared" si="9"/>
        <v>2.9411764705882351</v>
      </c>
      <c r="O96">
        <f t="shared" si="10"/>
        <v>0.5</v>
      </c>
    </row>
    <row r="97" spans="1:15" x14ac:dyDescent="0.3">
      <c r="A97">
        <v>96</v>
      </c>
      <c r="B97" s="1">
        <v>44236</v>
      </c>
      <c r="C97" t="s">
        <v>26</v>
      </c>
      <c r="D97" t="s">
        <v>17</v>
      </c>
      <c r="E97">
        <v>4387490</v>
      </c>
      <c r="F97">
        <v>9721</v>
      </c>
      <c r="G97">
        <v>2152.37</v>
      </c>
      <c r="H97">
        <v>290</v>
      </c>
      <c r="I97">
        <v>6</v>
      </c>
      <c r="J97">
        <v>1</v>
      </c>
      <c r="K97">
        <v>4353</v>
      </c>
      <c r="L97">
        <f t="shared" si="11"/>
        <v>2152.37</v>
      </c>
      <c r="M97">
        <f t="shared" si="8"/>
        <v>202.24217955091365</v>
      </c>
      <c r="N97">
        <f t="shared" si="9"/>
        <v>16.666666666666664</v>
      </c>
      <c r="O97">
        <f t="shared" si="10"/>
        <v>2.9832321777594895</v>
      </c>
    </row>
    <row r="98" spans="1:15" x14ac:dyDescent="0.3">
      <c r="A98">
        <v>97</v>
      </c>
      <c r="B98" s="1">
        <v>44236</v>
      </c>
      <c r="C98" t="s">
        <v>27</v>
      </c>
      <c r="D98" t="s">
        <v>17</v>
      </c>
      <c r="E98">
        <v>544756</v>
      </c>
      <c r="F98">
        <v>189854</v>
      </c>
      <c r="G98">
        <v>29091.4</v>
      </c>
      <c r="H98">
        <v>1198</v>
      </c>
      <c r="I98">
        <v>24</v>
      </c>
      <c r="J98">
        <v>3</v>
      </c>
      <c r="K98">
        <v>2943</v>
      </c>
      <c r="L98">
        <f t="shared" si="11"/>
        <v>9697.1333333333332</v>
      </c>
      <c r="M98">
        <f t="shared" si="8"/>
        <v>10.116391785888613</v>
      </c>
      <c r="N98">
        <f t="shared" si="9"/>
        <v>12.5</v>
      </c>
      <c r="O98">
        <f t="shared" si="10"/>
        <v>0.63101119807852357</v>
      </c>
    </row>
    <row r="99" spans="1:15" x14ac:dyDescent="0.3">
      <c r="A99">
        <v>98</v>
      </c>
      <c r="B99" s="1">
        <v>44236</v>
      </c>
      <c r="C99" t="s">
        <v>28</v>
      </c>
      <c r="D99" t="s">
        <v>23</v>
      </c>
      <c r="E99">
        <v>374754</v>
      </c>
      <c r="F99">
        <v>346068</v>
      </c>
      <c r="G99">
        <v>57642.400000000001</v>
      </c>
      <c r="H99">
        <v>3006</v>
      </c>
      <c r="I99">
        <v>99</v>
      </c>
      <c r="J99">
        <v>15</v>
      </c>
      <c r="K99">
        <v>89460</v>
      </c>
      <c r="L99">
        <f t="shared" si="11"/>
        <v>3842.8266666666668</v>
      </c>
      <c r="M99">
        <f t="shared" si="8"/>
        <v>155.19825683871593</v>
      </c>
      <c r="N99">
        <f t="shared" si="9"/>
        <v>15.151515151515152</v>
      </c>
      <c r="O99">
        <f t="shared" si="10"/>
        <v>0.86861541662332264</v>
      </c>
    </row>
    <row r="100" spans="1:15" x14ac:dyDescent="0.3">
      <c r="A100">
        <v>99</v>
      </c>
      <c r="B100" s="1">
        <v>44236</v>
      </c>
      <c r="C100" t="s">
        <v>29</v>
      </c>
      <c r="D100" t="s">
        <v>30</v>
      </c>
      <c r="E100">
        <v>39889</v>
      </c>
      <c r="F100">
        <v>3736884</v>
      </c>
      <c r="G100">
        <v>44731.7</v>
      </c>
      <c r="H100">
        <v>4190</v>
      </c>
      <c r="I100">
        <v>84</v>
      </c>
      <c r="J100">
        <v>13</v>
      </c>
      <c r="K100">
        <v>51259</v>
      </c>
      <c r="L100">
        <f t="shared" si="11"/>
        <v>3440.8999999999996</v>
      </c>
      <c r="M100">
        <f t="shared" si="8"/>
        <v>114.59211252869889</v>
      </c>
      <c r="N100">
        <f t="shared" si="9"/>
        <v>15.476190476190476</v>
      </c>
      <c r="O100">
        <f t="shared" si="10"/>
        <v>0.1121255034943552</v>
      </c>
    </row>
    <row r="101" spans="1:15" x14ac:dyDescent="0.3">
      <c r="A101">
        <v>100</v>
      </c>
      <c r="B101" s="1">
        <v>44237</v>
      </c>
      <c r="C101" t="s">
        <v>16</v>
      </c>
      <c r="D101" t="s">
        <v>17</v>
      </c>
      <c r="E101">
        <v>349043</v>
      </c>
      <c r="F101">
        <v>961800</v>
      </c>
      <c r="G101">
        <v>43386.400000000001</v>
      </c>
      <c r="H101">
        <v>4809</v>
      </c>
      <c r="I101">
        <v>96</v>
      </c>
      <c r="J101">
        <v>8</v>
      </c>
      <c r="K101">
        <v>42400</v>
      </c>
      <c r="L101">
        <f t="shared" si="11"/>
        <v>5423.3</v>
      </c>
      <c r="M101">
        <f t="shared" si="8"/>
        <v>97.726476499548241</v>
      </c>
      <c r="N101">
        <f t="shared" si="9"/>
        <v>8.3333333333333321</v>
      </c>
      <c r="O101">
        <f t="shared" si="10"/>
        <v>0.5</v>
      </c>
    </row>
    <row r="102" spans="1:15" x14ac:dyDescent="0.3">
      <c r="A102">
        <v>101</v>
      </c>
      <c r="B102" s="1">
        <v>44237</v>
      </c>
      <c r="C102" t="s">
        <v>18</v>
      </c>
      <c r="D102" t="s">
        <v>17</v>
      </c>
      <c r="E102">
        <v>348934</v>
      </c>
      <c r="F102">
        <v>852250</v>
      </c>
      <c r="G102">
        <v>43865.9</v>
      </c>
      <c r="H102">
        <v>6596</v>
      </c>
      <c r="I102">
        <v>132</v>
      </c>
      <c r="J102">
        <v>7</v>
      </c>
      <c r="K102">
        <v>34867</v>
      </c>
      <c r="L102">
        <f t="shared" si="11"/>
        <v>6266.5571428571429</v>
      </c>
      <c r="M102">
        <f t="shared" si="8"/>
        <v>79.485431736268936</v>
      </c>
      <c r="N102">
        <f t="shared" si="9"/>
        <v>5.3030303030303028</v>
      </c>
      <c r="O102">
        <f t="shared" si="10"/>
        <v>0.77395130536814316</v>
      </c>
    </row>
    <row r="103" spans="1:15" x14ac:dyDescent="0.3">
      <c r="A103">
        <v>102</v>
      </c>
      <c r="B103" s="1">
        <v>44237</v>
      </c>
      <c r="C103" t="s">
        <v>19</v>
      </c>
      <c r="D103" t="s">
        <v>20</v>
      </c>
      <c r="E103">
        <v>89459845</v>
      </c>
      <c r="F103">
        <v>108748</v>
      </c>
      <c r="G103">
        <v>51883.1</v>
      </c>
      <c r="H103">
        <v>1797</v>
      </c>
      <c r="I103">
        <v>57</v>
      </c>
      <c r="J103">
        <v>11</v>
      </c>
      <c r="K103">
        <v>86724</v>
      </c>
      <c r="L103">
        <f t="shared" si="11"/>
        <v>4716.6454545454544</v>
      </c>
      <c r="M103">
        <f t="shared" si="8"/>
        <v>167.15269519361797</v>
      </c>
      <c r="N103">
        <f t="shared" si="9"/>
        <v>19.298245614035086</v>
      </c>
      <c r="O103">
        <f t="shared" si="10"/>
        <v>1.6524441828815244</v>
      </c>
    </row>
    <row r="104" spans="1:15" x14ac:dyDescent="0.3">
      <c r="A104">
        <v>103</v>
      </c>
      <c r="B104" s="1">
        <v>44237</v>
      </c>
      <c r="C104" t="s">
        <v>21</v>
      </c>
      <c r="D104" t="s">
        <v>20</v>
      </c>
      <c r="E104">
        <v>127823</v>
      </c>
      <c r="F104">
        <v>797238</v>
      </c>
      <c r="G104">
        <v>67577.8</v>
      </c>
      <c r="H104">
        <v>4797</v>
      </c>
      <c r="I104">
        <v>154</v>
      </c>
      <c r="J104">
        <v>19</v>
      </c>
      <c r="K104">
        <v>42598</v>
      </c>
      <c r="L104">
        <f t="shared" si="11"/>
        <v>3556.726315789474</v>
      </c>
      <c r="M104">
        <f t="shared" si="8"/>
        <v>63.035493904803054</v>
      </c>
      <c r="N104">
        <f t="shared" si="9"/>
        <v>12.337662337662337</v>
      </c>
      <c r="O104">
        <f t="shared" si="10"/>
        <v>0.60170237745817434</v>
      </c>
    </row>
    <row r="105" spans="1:15" x14ac:dyDescent="0.3">
      <c r="A105">
        <v>104</v>
      </c>
      <c r="B105" s="1">
        <v>44237</v>
      </c>
      <c r="C105" t="s">
        <v>22</v>
      </c>
      <c r="D105" t="s">
        <v>23</v>
      </c>
      <c r="E105">
        <v>10934</v>
      </c>
      <c r="F105">
        <v>1469962</v>
      </c>
      <c r="G105">
        <v>19831.400000000001</v>
      </c>
      <c r="H105">
        <v>8998</v>
      </c>
      <c r="I105">
        <v>80</v>
      </c>
      <c r="J105">
        <v>16</v>
      </c>
      <c r="K105">
        <v>130768</v>
      </c>
      <c r="L105">
        <f t="shared" si="11"/>
        <v>1239.4625000000001</v>
      </c>
      <c r="M105">
        <f t="shared" si="8"/>
        <v>659.39873130490025</v>
      </c>
      <c r="N105">
        <f t="shared" si="9"/>
        <v>20</v>
      </c>
      <c r="O105">
        <f t="shared" si="10"/>
        <v>0.61212466716826686</v>
      </c>
    </row>
    <row r="106" spans="1:15" x14ac:dyDescent="0.3">
      <c r="A106">
        <v>105</v>
      </c>
      <c r="B106" s="1">
        <v>44237</v>
      </c>
      <c r="C106" t="s">
        <v>24</v>
      </c>
      <c r="D106" t="s">
        <v>17</v>
      </c>
      <c r="E106">
        <v>9034945</v>
      </c>
      <c r="F106">
        <v>3858193</v>
      </c>
      <c r="G106">
        <v>38890.300000000003</v>
      </c>
      <c r="H106">
        <v>5406</v>
      </c>
      <c r="I106">
        <v>186</v>
      </c>
      <c r="J106">
        <v>14</v>
      </c>
      <c r="K106">
        <v>83734</v>
      </c>
      <c r="L106">
        <f t="shared" si="11"/>
        <v>2777.8785714285718</v>
      </c>
      <c r="M106">
        <f t="shared" si="8"/>
        <v>215.30818738862902</v>
      </c>
      <c r="N106">
        <f t="shared" si="9"/>
        <v>7.5268817204301079</v>
      </c>
      <c r="O106">
        <f t="shared" si="10"/>
        <v>0.14011740729403638</v>
      </c>
    </row>
    <row r="107" spans="1:15" x14ac:dyDescent="0.3">
      <c r="A107">
        <v>106</v>
      </c>
      <c r="B107" s="1">
        <v>44237</v>
      </c>
      <c r="C107" t="s">
        <v>25</v>
      </c>
      <c r="D107" t="s">
        <v>17</v>
      </c>
      <c r="E107">
        <v>983498</v>
      </c>
      <c r="F107">
        <v>2040000</v>
      </c>
      <c r="G107">
        <v>14147.9</v>
      </c>
      <c r="H107">
        <v>10200</v>
      </c>
      <c r="I107">
        <v>395</v>
      </c>
      <c r="J107">
        <v>4</v>
      </c>
      <c r="K107">
        <v>7924</v>
      </c>
      <c r="L107">
        <f t="shared" si="11"/>
        <v>3536.9749999999999</v>
      </c>
      <c r="M107">
        <f t="shared" si="8"/>
        <v>56.008312187674505</v>
      </c>
      <c r="N107">
        <f t="shared" si="9"/>
        <v>1.0126582278481013</v>
      </c>
      <c r="O107">
        <f t="shared" si="10"/>
        <v>0.5</v>
      </c>
    </row>
    <row r="108" spans="1:15" x14ac:dyDescent="0.3">
      <c r="A108">
        <v>107</v>
      </c>
      <c r="B108" s="1">
        <v>44237</v>
      </c>
      <c r="C108" t="s">
        <v>26</v>
      </c>
      <c r="D108" t="s">
        <v>17</v>
      </c>
      <c r="E108">
        <v>4387490</v>
      </c>
      <c r="F108">
        <v>18399</v>
      </c>
      <c r="G108">
        <v>12713</v>
      </c>
      <c r="H108">
        <v>599</v>
      </c>
      <c r="I108">
        <v>22</v>
      </c>
      <c r="J108">
        <v>5</v>
      </c>
      <c r="K108">
        <v>27065</v>
      </c>
      <c r="L108">
        <f t="shared" si="11"/>
        <v>2542.6</v>
      </c>
      <c r="M108">
        <f t="shared" si="8"/>
        <v>212.89231495319751</v>
      </c>
      <c r="N108">
        <f t="shared" si="9"/>
        <v>22.727272727272727</v>
      </c>
      <c r="O108">
        <f t="shared" si="10"/>
        <v>3.2556117180281534</v>
      </c>
    </row>
    <row r="109" spans="1:15" x14ac:dyDescent="0.3">
      <c r="A109">
        <v>108</v>
      </c>
      <c r="B109" s="1">
        <v>44237</v>
      </c>
      <c r="C109" t="s">
        <v>27</v>
      </c>
      <c r="D109" t="s">
        <v>17</v>
      </c>
      <c r="E109">
        <v>544756</v>
      </c>
      <c r="F109">
        <v>321713</v>
      </c>
      <c r="G109">
        <v>131236</v>
      </c>
      <c r="H109">
        <v>2396</v>
      </c>
      <c r="I109">
        <v>88</v>
      </c>
      <c r="J109">
        <v>15</v>
      </c>
      <c r="K109">
        <v>14715</v>
      </c>
      <c r="L109">
        <f t="shared" si="11"/>
        <v>8749.0666666666675</v>
      </c>
      <c r="M109">
        <f t="shared" si="8"/>
        <v>11.212624584717608</v>
      </c>
      <c r="N109">
        <f t="shared" si="9"/>
        <v>17.045454545454543</v>
      </c>
      <c r="O109">
        <f t="shared" si="10"/>
        <v>0.74476318955093512</v>
      </c>
    </row>
    <row r="110" spans="1:15" x14ac:dyDescent="0.3">
      <c r="A110">
        <v>109</v>
      </c>
      <c r="B110" s="1">
        <v>44237</v>
      </c>
      <c r="C110" t="s">
        <v>28</v>
      </c>
      <c r="D110" t="s">
        <v>23</v>
      </c>
      <c r="E110">
        <v>374754</v>
      </c>
      <c r="F110">
        <v>489728</v>
      </c>
      <c r="G110">
        <v>126901</v>
      </c>
      <c r="H110">
        <v>6005</v>
      </c>
      <c r="I110">
        <v>187</v>
      </c>
      <c r="J110">
        <v>34</v>
      </c>
      <c r="K110">
        <v>143888</v>
      </c>
      <c r="L110">
        <f t="shared" si="11"/>
        <v>3732.3823529411766</v>
      </c>
      <c r="M110">
        <f t="shared" si="8"/>
        <v>113.38602532682958</v>
      </c>
      <c r="N110">
        <f t="shared" si="9"/>
        <v>18.181818181818183</v>
      </c>
      <c r="O110">
        <f t="shared" si="10"/>
        <v>1.2261908651332984</v>
      </c>
    </row>
    <row r="111" spans="1:15" x14ac:dyDescent="0.3">
      <c r="A111">
        <v>110</v>
      </c>
      <c r="B111" s="1">
        <v>44237</v>
      </c>
      <c r="C111" t="s">
        <v>29</v>
      </c>
      <c r="D111" t="s">
        <v>30</v>
      </c>
      <c r="E111">
        <v>39889</v>
      </c>
      <c r="F111">
        <v>5219501</v>
      </c>
      <c r="G111">
        <v>179519</v>
      </c>
      <c r="H111">
        <v>8391</v>
      </c>
      <c r="I111">
        <v>302</v>
      </c>
      <c r="J111">
        <v>60</v>
      </c>
      <c r="K111">
        <v>196680</v>
      </c>
      <c r="L111">
        <f t="shared" si="11"/>
        <v>2991.9833333333331</v>
      </c>
      <c r="M111">
        <f t="shared" si="8"/>
        <v>109.55943382037556</v>
      </c>
      <c r="N111">
        <f t="shared" si="9"/>
        <v>19.867549668874172</v>
      </c>
      <c r="O111">
        <f t="shared" si="10"/>
        <v>0.16076249434572384</v>
      </c>
    </row>
    <row r="112" spans="1:15" x14ac:dyDescent="0.3">
      <c r="A112">
        <v>111</v>
      </c>
      <c r="B112" s="1">
        <v>44238</v>
      </c>
      <c r="C112" t="s">
        <v>16</v>
      </c>
      <c r="D112" t="s">
        <v>17</v>
      </c>
      <c r="E112">
        <v>349043</v>
      </c>
      <c r="F112">
        <v>1061233</v>
      </c>
      <c r="G112">
        <v>105681</v>
      </c>
      <c r="H112">
        <v>7206</v>
      </c>
      <c r="I112">
        <v>144</v>
      </c>
      <c r="J112">
        <v>23</v>
      </c>
      <c r="K112">
        <v>105225</v>
      </c>
      <c r="L112">
        <f t="shared" si="11"/>
        <v>4594.826086956522</v>
      </c>
      <c r="M112">
        <f t="shared" si="8"/>
        <v>99.568512788486103</v>
      </c>
      <c r="N112">
        <f t="shared" si="9"/>
        <v>15.972222222222221</v>
      </c>
      <c r="O112">
        <f t="shared" si="10"/>
        <v>0.67902147784699496</v>
      </c>
    </row>
    <row r="113" spans="1:15" x14ac:dyDescent="0.3">
      <c r="A113">
        <v>112</v>
      </c>
      <c r="B113" s="1">
        <v>44238</v>
      </c>
      <c r="C113" t="s">
        <v>18</v>
      </c>
      <c r="D113" t="s">
        <v>17</v>
      </c>
      <c r="E113">
        <v>348934</v>
      </c>
      <c r="F113">
        <v>4564542</v>
      </c>
      <c r="G113">
        <v>188516</v>
      </c>
      <c r="H113">
        <v>9895</v>
      </c>
      <c r="I113">
        <v>304</v>
      </c>
      <c r="J113">
        <v>28</v>
      </c>
      <c r="K113">
        <v>131068</v>
      </c>
      <c r="L113">
        <f t="shared" si="11"/>
        <v>6732.7142857142853</v>
      </c>
      <c r="M113">
        <f t="shared" si="8"/>
        <v>69.526194063103404</v>
      </c>
      <c r="N113">
        <f t="shared" si="9"/>
        <v>9.2105263157894726</v>
      </c>
      <c r="O113">
        <f t="shared" si="10"/>
        <v>0.21677969005433623</v>
      </c>
    </row>
    <row r="114" spans="1:15" x14ac:dyDescent="0.3">
      <c r="A114">
        <v>113</v>
      </c>
      <c r="B114" s="1">
        <v>44238</v>
      </c>
      <c r="C114" t="s">
        <v>19</v>
      </c>
      <c r="D114" t="s">
        <v>20</v>
      </c>
      <c r="E114">
        <v>89459845</v>
      </c>
      <c r="F114">
        <v>134600</v>
      </c>
      <c r="G114">
        <v>26220.400000000001</v>
      </c>
      <c r="H114">
        <v>2692</v>
      </c>
      <c r="I114">
        <v>54</v>
      </c>
      <c r="J114">
        <v>6</v>
      </c>
      <c r="K114">
        <v>48990</v>
      </c>
      <c r="L114">
        <f t="shared" si="11"/>
        <v>4370.0666666666666</v>
      </c>
      <c r="M114">
        <f t="shared" si="8"/>
        <v>186.83925493127487</v>
      </c>
      <c r="N114">
        <f t="shared" si="9"/>
        <v>11.111111111111111</v>
      </c>
      <c r="O114">
        <f t="shared" si="10"/>
        <v>2</v>
      </c>
    </row>
    <row r="115" spans="1:15" x14ac:dyDescent="0.3">
      <c r="A115">
        <v>114</v>
      </c>
      <c r="B115" s="1">
        <v>44238</v>
      </c>
      <c r="C115" t="s">
        <v>21</v>
      </c>
      <c r="D115" t="s">
        <v>20</v>
      </c>
      <c r="E115">
        <v>127823</v>
      </c>
      <c r="F115">
        <v>1254537</v>
      </c>
      <c r="G115">
        <v>51422.5</v>
      </c>
      <c r="H115">
        <v>7198</v>
      </c>
      <c r="I115">
        <v>144</v>
      </c>
      <c r="J115">
        <v>14</v>
      </c>
      <c r="K115">
        <v>41986</v>
      </c>
      <c r="L115">
        <f t="shared" si="11"/>
        <v>3673.0357142857142</v>
      </c>
      <c r="M115">
        <f t="shared" si="8"/>
        <v>81.64908357236618</v>
      </c>
      <c r="N115">
        <f t="shared" si="9"/>
        <v>9.7222222222222232</v>
      </c>
      <c r="O115">
        <f t="shared" si="10"/>
        <v>0.57375748981496755</v>
      </c>
    </row>
    <row r="116" spans="1:15" x14ac:dyDescent="0.3">
      <c r="A116">
        <v>115</v>
      </c>
      <c r="B116" s="1">
        <v>44238</v>
      </c>
      <c r="C116" t="s">
        <v>22</v>
      </c>
      <c r="D116" t="s">
        <v>23</v>
      </c>
      <c r="E116">
        <v>10934</v>
      </c>
      <c r="F116">
        <v>1210466</v>
      </c>
      <c r="G116">
        <v>197161</v>
      </c>
      <c r="H116">
        <v>13506</v>
      </c>
      <c r="I116">
        <v>474</v>
      </c>
      <c r="J116">
        <v>95</v>
      </c>
      <c r="K116">
        <v>831820</v>
      </c>
      <c r="L116">
        <f t="shared" si="11"/>
        <v>2075.378947368421</v>
      </c>
      <c r="M116">
        <f t="shared" si="8"/>
        <v>421.89885423587833</v>
      </c>
      <c r="N116">
        <f t="shared" si="9"/>
        <v>20.042194092827003</v>
      </c>
      <c r="O116">
        <f t="shared" si="10"/>
        <v>1.1157686378634344</v>
      </c>
    </row>
    <row r="117" spans="1:15" x14ac:dyDescent="0.3">
      <c r="A117">
        <v>116</v>
      </c>
      <c r="B117" s="1">
        <v>44238</v>
      </c>
      <c r="C117" t="s">
        <v>24</v>
      </c>
      <c r="D117" t="s">
        <v>17</v>
      </c>
      <c r="E117">
        <v>9034945</v>
      </c>
      <c r="F117">
        <v>2224531</v>
      </c>
      <c r="G117">
        <v>348.99</v>
      </c>
      <c r="H117">
        <v>8106</v>
      </c>
      <c r="I117">
        <v>1</v>
      </c>
      <c r="J117">
        <v>0</v>
      </c>
      <c r="K117">
        <v>0</v>
      </c>
      <c r="L117">
        <v>0</v>
      </c>
      <c r="M117">
        <f t="shared" si="8"/>
        <v>0</v>
      </c>
      <c r="N117">
        <f t="shared" si="9"/>
        <v>0</v>
      </c>
      <c r="O117">
        <f t="shared" si="10"/>
        <v>0.36439141553882592</v>
      </c>
    </row>
    <row r="118" spans="1:15" x14ac:dyDescent="0.3">
      <c r="A118">
        <v>117</v>
      </c>
      <c r="B118" s="1">
        <v>44238</v>
      </c>
      <c r="C118" t="s">
        <v>25</v>
      </c>
      <c r="D118" t="s">
        <v>17</v>
      </c>
      <c r="E118">
        <v>983498</v>
      </c>
      <c r="F118">
        <v>3058200</v>
      </c>
      <c r="G118">
        <v>4138.7299999999996</v>
      </c>
      <c r="H118">
        <v>15291</v>
      </c>
      <c r="I118">
        <v>114</v>
      </c>
      <c r="J118">
        <v>1</v>
      </c>
      <c r="K118">
        <v>2771</v>
      </c>
      <c r="L118">
        <f t="shared" si="11"/>
        <v>4138.7299999999996</v>
      </c>
      <c r="M118">
        <f t="shared" si="8"/>
        <v>66.952905843096801</v>
      </c>
      <c r="N118">
        <f t="shared" si="9"/>
        <v>0.8771929824561403</v>
      </c>
      <c r="O118">
        <f t="shared" si="10"/>
        <v>0.5</v>
      </c>
    </row>
    <row r="119" spans="1:15" x14ac:dyDescent="0.3">
      <c r="A119">
        <v>118</v>
      </c>
      <c r="B119" s="1">
        <v>44238</v>
      </c>
      <c r="C119" t="s">
        <v>26</v>
      </c>
      <c r="D119" t="s">
        <v>17</v>
      </c>
      <c r="E119">
        <v>4387490</v>
      </c>
      <c r="F119">
        <v>26774</v>
      </c>
      <c r="G119">
        <v>17711.099999999999</v>
      </c>
      <c r="H119">
        <v>893</v>
      </c>
      <c r="I119">
        <v>27</v>
      </c>
      <c r="J119">
        <v>6</v>
      </c>
      <c r="K119">
        <v>29886</v>
      </c>
      <c r="L119">
        <f t="shared" si="11"/>
        <v>2951.85</v>
      </c>
      <c r="M119">
        <f t="shared" si="8"/>
        <v>168.74163660077579</v>
      </c>
      <c r="N119">
        <f t="shared" si="9"/>
        <v>22.222222222222221</v>
      </c>
      <c r="O119">
        <f t="shared" si="10"/>
        <v>3.3353253156046909</v>
      </c>
    </row>
    <row r="120" spans="1:15" x14ac:dyDescent="0.3">
      <c r="A120">
        <v>119</v>
      </c>
      <c r="B120" s="1">
        <v>44238</v>
      </c>
      <c r="C120" t="s">
        <v>27</v>
      </c>
      <c r="D120" t="s">
        <v>17</v>
      </c>
      <c r="E120">
        <v>544756</v>
      </c>
      <c r="F120">
        <v>359500</v>
      </c>
      <c r="G120">
        <v>6171.15</v>
      </c>
      <c r="H120">
        <v>3595</v>
      </c>
      <c r="I120">
        <v>5</v>
      </c>
      <c r="J120">
        <v>1</v>
      </c>
      <c r="K120">
        <v>677</v>
      </c>
      <c r="L120">
        <f t="shared" si="11"/>
        <v>6171.15</v>
      </c>
      <c r="M120">
        <f t="shared" si="8"/>
        <v>10.970402599191399</v>
      </c>
      <c r="N120">
        <f t="shared" si="9"/>
        <v>20</v>
      </c>
      <c r="O120">
        <f t="shared" si="10"/>
        <v>1</v>
      </c>
    </row>
    <row r="121" spans="1:15" x14ac:dyDescent="0.3">
      <c r="A121">
        <v>120</v>
      </c>
      <c r="B121" s="1">
        <v>44238</v>
      </c>
      <c r="C121" t="s">
        <v>28</v>
      </c>
      <c r="D121" t="s">
        <v>23</v>
      </c>
      <c r="E121">
        <v>374754</v>
      </c>
      <c r="F121">
        <v>900400</v>
      </c>
      <c r="G121">
        <v>128751</v>
      </c>
      <c r="H121">
        <v>9004</v>
      </c>
      <c r="I121">
        <v>227</v>
      </c>
      <c r="J121">
        <v>29</v>
      </c>
      <c r="K121">
        <v>143869</v>
      </c>
      <c r="L121">
        <f t="shared" si="11"/>
        <v>4439.6896551724139</v>
      </c>
      <c r="M121">
        <f t="shared" si="8"/>
        <v>111.74204472198275</v>
      </c>
      <c r="N121">
        <f t="shared" si="9"/>
        <v>12.77533039647577</v>
      </c>
      <c r="O121">
        <f t="shared" si="10"/>
        <v>1</v>
      </c>
    </row>
    <row r="122" spans="1:15" x14ac:dyDescent="0.3">
      <c r="A122">
        <v>121</v>
      </c>
      <c r="B122" s="1">
        <v>44238</v>
      </c>
      <c r="C122" t="s">
        <v>29</v>
      </c>
      <c r="D122" t="s">
        <v>30</v>
      </c>
      <c r="E122">
        <v>39889</v>
      </c>
      <c r="F122">
        <v>5125187</v>
      </c>
      <c r="G122">
        <v>193124</v>
      </c>
      <c r="H122">
        <v>12602</v>
      </c>
      <c r="I122">
        <v>482</v>
      </c>
      <c r="J122">
        <v>57</v>
      </c>
      <c r="K122">
        <v>226917</v>
      </c>
      <c r="L122">
        <f t="shared" si="11"/>
        <v>3388.1403508771928</v>
      </c>
      <c r="M122">
        <f t="shared" si="8"/>
        <v>117.49808413247447</v>
      </c>
      <c r="N122">
        <f t="shared" si="9"/>
        <v>11.825726141078837</v>
      </c>
      <c r="O122">
        <f t="shared" si="10"/>
        <v>0.24588371116995339</v>
      </c>
    </row>
    <row r="123" spans="1:15" x14ac:dyDescent="0.3">
      <c r="A123">
        <v>122</v>
      </c>
      <c r="B123" s="1">
        <v>44239</v>
      </c>
      <c r="C123" t="s">
        <v>16</v>
      </c>
      <c r="D123" t="s">
        <v>17</v>
      </c>
      <c r="E123">
        <v>349043</v>
      </c>
      <c r="F123">
        <v>1804868</v>
      </c>
      <c r="G123">
        <v>110004</v>
      </c>
      <c r="H123">
        <v>9607</v>
      </c>
      <c r="I123">
        <v>192</v>
      </c>
      <c r="J123">
        <v>23</v>
      </c>
      <c r="K123">
        <v>96163</v>
      </c>
      <c r="L123">
        <f t="shared" si="11"/>
        <v>4782.782608695652</v>
      </c>
      <c r="M123">
        <f t="shared" si="8"/>
        <v>87.41773026435402</v>
      </c>
      <c r="N123">
        <f t="shared" si="9"/>
        <v>11.979166666666668</v>
      </c>
      <c r="O123">
        <f t="shared" si="10"/>
        <v>0.53228269324958943</v>
      </c>
    </row>
    <row r="124" spans="1:15" x14ac:dyDescent="0.3">
      <c r="A124">
        <v>123</v>
      </c>
      <c r="B124" s="1">
        <v>44239</v>
      </c>
      <c r="C124" t="s">
        <v>18</v>
      </c>
      <c r="D124" t="s">
        <v>17</v>
      </c>
      <c r="E124">
        <v>348934</v>
      </c>
      <c r="F124">
        <v>2639200</v>
      </c>
      <c r="G124">
        <v>191722</v>
      </c>
      <c r="H124">
        <v>13196</v>
      </c>
      <c r="I124">
        <v>325</v>
      </c>
      <c r="J124">
        <v>32</v>
      </c>
      <c r="K124">
        <v>176512</v>
      </c>
      <c r="L124">
        <f t="shared" si="11"/>
        <v>5991.3125</v>
      </c>
      <c r="M124">
        <f t="shared" si="8"/>
        <v>92.066638153159261</v>
      </c>
      <c r="N124">
        <f t="shared" si="9"/>
        <v>9.8461538461538467</v>
      </c>
      <c r="O124">
        <f t="shared" si="10"/>
        <v>0.5</v>
      </c>
    </row>
    <row r="125" spans="1:15" x14ac:dyDescent="0.3">
      <c r="A125">
        <v>124</v>
      </c>
      <c r="B125" s="1">
        <v>44239</v>
      </c>
      <c r="C125" t="s">
        <v>19</v>
      </c>
      <c r="D125" t="s">
        <v>20</v>
      </c>
      <c r="E125">
        <v>89459845</v>
      </c>
      <c r="F125">
        <v>161493</v>
      </c>
      <c r="G125">
        <v>59745.3</v>
      </c>
      <c r="H125">
        <v>3602</v>
      </c>
      <c r="I125">
        <v>72</v>
      </c>
      <c r="J125">
        <v>14</v>
      </c>
      <c r="K125">
        <v>122710</v>
      </c>
      <c r="L125">
        <f t="shared" si="11"/>
        <v>4267.5214285714292</v>
      </c>
      <c r="M125">
        <f t="shared" si="8"/>
        <v>205.38854102331058</v>
      </c>
      <c r="N125">
        <f t="shared" si="9"/>
        <v>19.444444444444446</v>
      </c>
      <c r="O125">
        <f t="shared" si="10"/>
        <v>2.2304372325735478</v>
      </c>
    </row>
    <row r="126" spans="1:15" x14ac:dyDescent="0.3">
      <c r="A126">
        <v>125</v>
      </c>
      <c r="B126" s="1">
        <v>44239</v>
      </c>
      <c r="C126" t="s">
        <v>21</v>
      </c>
      <c r="D126" t="s">
        <v>20</v>
      </c>
      <c r="E126">
        <v>127823</v>
      </c>
      <c r="F126">
        <v>1502383</v>
      </c>
      <c r="G126">
        <v>86733.1</v>
      </c>
      <c r="H126">
        <v>9605</v>
      </c>
      <c r="I126">
        <v>192</v>
      </c>
      <c r="J126">
        <v>19</v>
      </c>
      <c r="K126">
        <v>56639</v>
      </c>
      <c r="L126">
        <f t="shared" si="11"/>
        <v>4564.9000000000005</v>
      </c>
      <c r="M126">
        <f t="shared" si="8"/>
        <v>65.302635326075048</v>
      </c>
      <c r="N126">
        <f t="shared" si="9"/>
        <v>9.8958333333333321</v>
      </c>
      <c r="O126">
        <f t="shared" si="10"/>
        <v>0.6393176706605439</v>
      </c>
    </row>
    <row r="127" spans="1:15" x14ac:dyDescent="0.3">
      <c r="A127">
        <v>126</v>
      </c>
      <c r="B127" s="1">
        <v>44239</v>
      </c>
      <c r="C127" t="s">
        <v>22</v>
      </c>
      <c r="D127" t="s">
        <v>23</v>
      </c>
      <c r="E127">
        <v>10934</v>
      </c>
      <c r="F127">
        <v>1299708</v>
      </c>
      <c r="G127">
        <v>121652</v>
      </c>
      <c r="H127">
        <v>17994</v>
      </c>
      <c r="I127">
        <v>378</v>
      </c>
      <c r="J127">
        <v>61</v>
      </c>
      <c r="K127">
        <v>486841</v>
      </c>
      <c r="L127">
        <f t="shared" si="11"/>
        <v>1994.295081967213</v>
      </c>
      <c r="M127">
        <f t="shared" si="8"/>
        <v>400.19152993785553</v>
      </c>
      <c r="N127">
        <f t="shared" si="9"/>
        <v>16.137566137566136</v>
      </c>
      <c r="O127">
        <f t="shared" si="10"/>
        <v>1.384464818251484</v>
      </c>
    </row>
    <row r="128" spans="1:15" x14ac:dyDescent="0.3">
      <c r="A128">
        <v>127</v>
      </c>
      <c r="B128" s="1">
        <v>44239</v>
      </c>
      <c r="C128" t="s">
        <v>24</v>
      </c>
      <c r="D128" t="s">
        <v>17</v>
      </c>
      <c r="E128">
        <v>9034945</v>
      </c>
      <c r="F128">
        <v>3735390</v>
      </c>
      <c r="G128">
        <v>26659.9</v>
      </c>
      <c r="H128">
        <v>10806</v>
      </c>
      <c r="I128">
        <v>115</v>
      </c>
      <c r="J128">
        <v>9</v>
      </c>
      <c r="K128">
        <v>53523</v>
      </c>
      <c r="L128">
        <f t="shared" si="11"/>
        <v>2962.2111111111112</v>
      </c>
      <c r="M128">
        <f t="shared" si="8"/>
        <v>200.7621934065769</v>
      </c>
      <c r="N128">
        <f t="shared" si="9"/>
        <v>7.8260869565217401</v>
      </c>
      <c r="O128">
        <f t="shared" si="10"/>
        <v>0.28928706239509128</v>
      </c>
    </row>
    <row r="129" spans="1:15" x14ac:dyDescent="0.3">
      <c r="A129">
        <v>128</v>
      </c>
      <c r="B129" s="1">
        <v>44239</v>
      </c>
      <c r="C129" t="s">
        <v>25</v>
      </c>
      <c r="D129" t="s">
        <v>17</v>
      </c>
      <c r="E129">
        <v>983498</v>
      </c>
      <c r="F129">
        <v>7156880</v>
      </c>
      <c r="G129">
        <v>49060.3</v>
      </c>
      <c r="H129">
        <v>20391</v>
      </c>
      <c r="I129">
        <v>408</v>
      </c>
      <c r="J129">
        <v>15</v>
      </c>
      <c r="K129">
        <v>29715</v>
      </c>
      <c r="L129">
        <f t="shared" si="11"/>
        <v>3270.686666666667</v>
      </c>
      <c r="M129">
        <f t="shared" si="8"/>
        <v>60.568321025350436</v>
      </c>
      <c r="N129">
        <f t="shared" si="9"/>
        <v>3.6764705882352944</v>
      </c>
      <c r="O129">
        <f t="shared" si="10"/>
        <v>0.2849146555482277</v>
      </c>
    </row>
    <row r="130" spans="1:15" x14ac:dyDescent="0.3">
      <c r="A130">
        <v>129</v>
      </c>
      <c r="B130" s="1">
        <v>44239</v>
      </c>
      <c r="C130" t="s">
        <v>26</v>
      </c>
      <c r="D130" t="s">
        <v>17</v>
      </c>
      <c r="E130">
        <v>4387490</v>
      </c>
      <c r="F130">
        <v>42587</v>
      </c>
      <c r="G130">
        <v>11278.3</v>
      </c>
      <c r="H130">
        <v>1207</v>
      </c>
      <c r="I130">
        <v>34</v>
      </c>
      <c r="J130">
        <v>8</v>
      </c>
      <c r="K130">
        <v>39848</v>
      </c>
      <c r="L130">
        <f t="shared" si="11"/>
        <v>1409.7874999999999</v>
      </c>
      <c r="M130">
        <f t="shared" si="8"/>
        <v>353.31565927489072</v>
      </c>
      <c r="N130">
        <f t="shared" si="9"/>
        <v>23.52941176470588</v>
      </c>
      <c r="O130">
        <f t="shared" si="10"/>
        <v>2.834198229506657</v>
      </c>
    </row>
    <row r="131" spans="1:15" x14ac:dyDescent="0.3">
      <c r="A131">
        <v>130</v>
      </c>
      <c r="B131" s="1">
        <v>44239</v>
      </c>
      <c r="C131" t="s">
        <v>27</v>
      </c>
      <c r="D131" t="s">
        <v>17</v>
      </c>
      <c r="E131">
        <v>544756</v>
      </c>
      <c r="F131">
        <v>480000</v>
      </c>
      <c r="G131">
        <v>44580.9</v>
      </c>
      <c r="H131">
        <v>4800</v>
      </c>
      <c r="I131">
        <v>33</v>
      </c>
      <c r="J131">
        <v>5</v>
      </c>
      <c r="K131">
        <v>6945</v>
      </c>
      <c r="L131">
        <f t="shared" si="11"/>
        <v>8916.18</v>
      </c>
      <c r="M131">
        <f t="shared" ref="M131:M194" si="12">(K131/G131)*100</f>
        <v>15.578420354905351</v>
      </c>
      <c r="N131">
        <f t="shared" ref="N131:N194" si="13">(J131/I131)*100</f>
        <v>15.151515151515152</v>
      </c>
      <c r="O131">
        <f t="shared" ref="O131:O194" si="14">H131/F131*100</f>
        <v>1</v>
      </c>
    </row>
    <row r="132" spans="1:15" x14ac:dyDescent="0.3">
      <c r="A132">
        <v>131</v>
      </c>
      <c r="B132" s="1">
        <v>44239</v>
      </c>
      <c r="C132" t="s">
        <v>28</v>
      </c>
      <c r="D132" t="s">
        <v>23</v>
      </c>
      <c r="E132">
        <v>374754</v>
      </c>
      <c r="F132">
        <v>1200300</v>
      </c>
      <c r="G132">
        <v>308572</v>
      </c>
      <c r="H132">
        <v>12003</v>
      </c>
      <c r="I132">
        <v>412</v>
      </c>
      <c r="J132">
        <v>79</v>
      </c>
      <c r="K132">
        <v>393499</v>
      </c>
      <c r="L132">
        <f t="shared" si="11"/>
        <v>3905.9746835443038</v>
      </c>
      <c r="M132">
        <f t="shared" si="12"/>
        <v>127.52258792113349</v>
      </c>
      <c r="N132">
        <f t="shared" si="13"/>
        <v>19.174757281553397</v>
      </c>
      <c r="O132">
        <f t="shared" si="14"/>
        <v>1</v>
      </c>
    </row>
    <row r="133" spans="1:15" x14ac:dyDescent="0.3">
      <c r="A133">
        <v>132</v>
      </c>
      <c r="B133" s="1">
        <v>44239</v>
      </c>
      <c r="C133" t="s">
        <v>29</v>
      </c>
      <c r="D133" t="s">
        <v>30</v>
      </c>
      <c r="E133">
        <v>39889</v>
      </c>
      <c r="F133">
        <v>10819771</v>
      </c>
      <c r="G133">
        <v>145201</v>
      </c>
      <c r="H133">
        <v>16808</v>
      </c>
      <c r="I133">
        <v>336</v>
      </c>
      <c r="J133">
        <v>49</v>
      </c>
      <c r="K133">
        <v>195069</v>
      </c>
      <c r="L133">
        <f t="shared" si="11"/>
        <v>2963.2857142857142</v>
      </c>
      <c r="M133">
        <f t="shared" si="12"/>
        <v>134.34411608735476</v>
      </c>
      <c r="N133">
        <f t="shared" si="13"/>
        <v>14.583333333333334</v>
      </c>
      <c r="O133">
        <f t="shared" si="14"/>
        <v>0.15534524714062803</v>
      </c>
    </row>
    <row r="134" spans="1:15" x14ac:dyDescent="0.3">
      <c r="A134">
        <v>133</v>
      </c>
      <c r="B134" s="1">
        <v>44240</v>
      </c>
      <c r="C134" t="s">
        <v>16</v>
      </c>
      <c r="D134" t="s">
        <v>17</v>
      </c>
      <c r="E134">
        <v>349043</v>
      </c>
      <c r="F134">
        <v>1496322</v>
      </c>
      <c r="G134">
        <v>308692</v>
      </c>
      <c r="H134">
        <v>11990</v>
      </c>
      <c r="I134">
        <v>397</v>
      </c>
      <c r="J134">
        <v>60</v>
      </c>
      <c r="K134">
        <v>341880</v>
      </c>
      <c r="L134">
        <f t="shared" si="11"/>
        <v>5144.8666666666668</v>
      </c>
      <c r="M134">
        <f t="shared" si="12"/>
        <v>110.75116945045546</v>
      </c>
      <c r="N134">
        <f t="shared" si="13"/>
        <v>15.113350125944585</v>
      </c>
      <c r="O134">
        <f t="shared" si="14"/>
        <v>0.80129811631453662</v>
      </c>
    </row>
    <row r="135" spans="1:15" x14ac:dyDescent="0.3">
      <c r="A135">
        <v>134</v>
      </c>
      <c r="B135" s="1">
        <v>44240</v>
      </c>
      <c r="C135" t="s">
        <v>18</v>
      </c>
      <c r="D135" t="s">
        <v>17</v>
      </c>
      <c r="E135">
        <v>348934</v>
      </c>
      <c r="F135">
        <v>2358224</v>
      </c>
      <c r="G135">
        <v>325444</v>
      </c>
      <c r="H135">
        <v>16506</v>
      </c>
      <c r="I135">
        <v>655</v>
      </c>
      <c r="J135">
        <v>52</v>
      </c>
      <c r="K135">
        <v>262184</v>
      </c>
      <c r="L135">
        <f t="shared" si="11"/>
        <v>6258.5384615384619</v>
      </c>
      <c r="M135">
        <f t="shared" si="12"/>
        <v>80.561939995821092</v>
      </c>
      <c r="N135">
        <f t="shared" si="13"/>
        <v>7.9389312977099236</v>
      </c>
      <c r="O135">
        <f t="shared" si="14"/>
        <v>0.69993350928495346</v>
      </c>
    </row>
    <row r="136" spans="1:15" x14ac:dyDescent="0.3">
      <c r="A136">
        <v>135</v>
      </c>
      <c r="B136" s="1">
        <v>44240</v>
      </c>
      <c r="C136" t="s">
        <v>19</v>
      </c>
      <c r="D136" t="s">
        <v>20</v>
      </c>
      <c r="E136">
        <v>89459845</v>
      </c>
      <c r="F136">
        <v>225350</v>
      </c>
      <c r="G136">
        <v>61588.1</v>
      </c>
      <c r="H136">
        <v>4507</v>
      </c>
      <c r="I136">
        <v>100</v>
      </c>
      <c r="J136">
        <v>17</v>
      </c>
      <c r="K136">
        <v>152660</v>
      </c>
      <c r="L136">
        <f t="shared" si="11"/>
        <v>3622.8294117647056</v>
      </c>
      <c r="M136">
        <f t="shared" si="12"/>
        <v>247.87255979645417</v>
      </c>
      <c r="N136">
        <f t="shared" si="13"/>
        <v>17</v>
      </c>
      <c r="O136">
        <f t="shared" si="14"/>
        <v>2</v>
      </c>
    </row>
    <row r="137" spans="1:15" x14ac:dyDescent="0.3">
      <c r="A137">
        <v>136</v>
      </c>
      <c r="B137" s="1">
        <v>44240</v>
      </c>
      <c r="C137" t="s">
        <v>21</v>
      </c>
      <c r="D137" t="s">
        <v>20</v>
      </c>
      <c r="E137">
        <v>127823</v>
      </c>
      <c r="F137">
        <v>3452027</v>
      </c>
      <c r="G137">
        <v>216562</v>
      </c>
      <c r="H137">
        <v>12010</v>
      </c>
      <c r="I137">
        <v>378</v>
      </c>
      <c r="J137">
        <v>56</v>
      </c>
      <c r="K137">
        <v>123088</v>
      </c>
      <c r="L137">
        <f t="shared" si="11"/>
        <v>3867.1785714285716</v>
      </c>
      <c r="M137">
        <f t="shared" si="12"/>
        <v>56.837302943267979</v>
      </c>
      <c r="N137">
        <f t="shared" si="13"/>
        <v>14.814814814814813</v>
      </c>
      <c r="O137">
        <f t="shared" si="14"/>
        <v>0.34791153139879843</v>
      </c>
    </row>
    <row r="138" spans="1:15" x14ac:dyDescent="0.3">
      <c r="A138">
        <v>137</v>
      </c>
      <c r="B138" s="1">
        <v>44240</v>
      </c>
      <c r="C138" t="s">
        <v>22</v>
      </c>
      <c r="D138" t="s">
        <v>23</v>
      </c>
      <c r="E138">
        <v>10934</v>
      </c>
      <c r="F138">
        <v>2250900</v>
      </c>
      <c r="G138">
        <v>205045</v>
      </c>
      <c r="H138">
        <v>22509</v>
      </c>
      <c r="I138">
        <v>790</v>
      </c>
      <c r="J138">
        <v>158</v>
      </c>
      <c r="K138">
        <v>1296550</v>
      </c>
      <c r="L138">
        <f t="shared" si="11"/>
        <v>1297.753164556962</v>
      </c>
      <c r="M138">
        <f t="shared" si="12"/>
        <v>632.32461167060887</v>
      </c>
      <c r="N138">
        <f t="shared" si="13"/>
        <v>20</v>
      </c>
      <c r="O138">
        <f t="shared" si="14"/>
        <v>1</v>
      </c>
    </row>
    <row r="139" spans="1:15" x14ac:dyDescent="0.3">
      <c r="A139">
        <v>138</v>
      </c>
      <c r="B139" s="1">
        <v>44240</v>
      </c>
      <c r="C139" t="s">
        <v>24</v>
      </c>
      <c r="D139" t="s">
        <v>17</v>
      </c>
      <c r="E139">
        <v>9034945</v>
      </c>
      <c r="F139">
        <v>2698200</v>
      </c>
      <c r="G139">
        <v>88844.800000000003</v>
      </c>
      <c r="H139">
        <v>13491</v>
      </c>
      <c r="I139">
        <v>219</v>
      </c>
      <c r="J139">
        <v>26</v>
      </c>
      <c r="K139">
        <v>176384</v>
      </c>
      <c r="L139">
        <f t="shared" si="11"/>
        <v>3417.1076923076926</v>
      </c>
      <c r="M139">
        <f t="shared" si="12"/>
        <v>198.53047111367238</v>
      </c>
      <c r="N139">
        <f t="shared" si="13"/>
        <v>11.87214611872146</v>
      </c>
      <c r="O139">
        <f t="shared" si="14"/>
        <v>0.5</v>
      </c>
    </row>
    <row r="140" spans="1:15" x14ac:dyDescent="0.3">
      <c r="A140">
        <v>139</v>
      </c>
      <c r="B140" s="1">
        <v>44240</v>
      </c>
      <c r="C140" t="s">
        <v>25</v>
      </c>
      <c r="D140" t="s">
        <v>17</v>
      </c>
      <c r="E140">
        <v>983498</v>
      </c>
      <c r="F140">
        <v>5100600</v>
      </c>
      <c r="G140">
        <v>16656.8</v>
      </c>
      <c r="H140">
        <v>25503</v>
      </c>
      <c r="I140">
        <v>510</v>
      </c>
      <c r="J140">
        <v>6</v>
      </c>
      <c r="K140">
        <v>10134</v>
      </c>
      <c r="L140">
        <f t="shared" si="11"/>
        <v>2776.1333333333332</v>
      </c>
      <c r="M140">
        <f t="shared" si="12"/>
        <v>60.840017290235828</v>
      </c>
      <c r="N140">
        <f t="shared" si="13"/>
        <v>1.1764705882352942</v>
      </c>
      <c r="O140">
        <f t="shared" si="14"/>
        <v>0.5</v>
      </c>
    </row>
    <row r="141" spans="1:15" x14ac:dyDescent="0.3">
      <c r="A141">
        <v>140</v>
      </c>
      <c r="B141" s="1">
        <v>44240</v>
      </c>
      <c r="C141" t="s">
        <v>26</v>
      </c>
      <c r="D141" t="s">
        <v>17</v>
      </c>
      <c r="E141">
        <v>4387490</v>
      </c>
      <c r="F141">
        <v>50333</v>
      </c>
      <c r="G141">
        <v>8367.08</v>
      </c>
      <c r="H141">
        <v>1510</v>
      </c>
      <c r="I141">
        <v>19</v>
      </c>
      <c r="J141">
        <v>4</v>
      </c>
      <c r="K141">
        <v>18828</v>
      </c>
      <c r="L141">
        <f t="shared" si="11"/>
        <v>2091.77</v>
      </c>
      <c r="M141">
        <f t="shared" si="12"/>
        <v>225.02473981365063</v>
      </c>
      <c r="N141">
        <f t="shared" si="13"/>
        <v>21.052631578947366</v>
      </c>
      <c r="O141">
        <f t="shared" si="14"/>
        <v>3.0000198676812428</v>
      </c>
    </row>
    <row r="142" spans="1:15" x14ac:dyDescent="0.3">
      <c r="A142">
        <v>141</v>
      </c>
      <c r="B142" s="1">
        <v>44240</v>
      </c>
      <c r="C142" t="s">
        <v>27</v>
      </c>
      <c r="D142" t="s">
        <v>17</v>
      </c>
      <c r="E142">
        <v>544756</v>
      </c>
      <c r="F142">
        <v>495013</v>
      </c>
      <c r="G142">
        <v>171332</v>
      </c>
      <c r="H142">
        <v>6006</v>
      </c>
      <c r="I142">
        <v>128</v>
      </c>
      <c r="J142">
        <v>19</v>
      </c>
      <c r="K142">
        <v>24035</v>
      </c>
      <c r="L142">
        <f t="shared" si="11"/>
        <v>9017.4736842105267</v>
      </c>
      <c r="M142">
        <f t="shared" si="12"/>
        <v>14.028319286531413</v>
      </c>
      <c r="N142">
        <f t="shared" si="13"/>
        <v>14.84375</v>
      </c>
      <c r="O142">
        <f t="shared" si="14"/>
        <v>1.213301468850313</v>
      </c>
    </row>
    <row r="143" spans="1:15" x14ac:dyDescent="0.3">
      <c r="A143">
        <v>142</v>
      </c>
      <c r="B143" s="1">
        <v>44240</v>
      </c>
      <c r="C143" t="s">
        <v>28</v>
      </c>
      <c r="D143" t="s">
        <v>23</v>
      </c>
      <c r="E143">
        <v>374754</v>
      </c>
      <c r="F143">
        <v>1499200</v>
      </c>
      <c r="G143">
        <v>32770.1</v>
      </c>
      <c r="H143">
        <v>14992</v>
      </c>
      <c r="I143">
        <v>50</v>
      </c>
      <c r="J143">
        <v>8</v>
      </c>
      <c r="K143">
        <v>43976</v>
      </c>
      <c r="L143">
        <f t="shared" si="11"/>
        <v>4096.2624999999998</v>
      </c>
      <c r="M143">
        <f t="shared" si="12"/>
        <v>134.19550138693506</v>
      </c>
      <c r="N143">
        <f t="shared" si="13"/>
        <v>16</v>
      </c>
      <c r="O143">
        <f t="shared" si="14"/>
        <v>1</v>
      </c>
    </row>
    <row r="144" spans="1:15" x14ac:dyDescent="0.3">
      <c r="A144">
        <v>143</v>
      </c>
      <c r="B144" s="1">
        <v>44240</v>
      </c>
      <c r="C144" t="s">
        <v>29</v>
      </c>
      <c r="D144" t="s">
        <v>30</v>
      </c>
      <c r="E144">
        <v>39889</v>
      </c>
      <c r="F144">
        <v>17890507</v>
      </c>
      <c r="G144">
        <v>390105</v>
      </c>
      <c r="H144">
        <v>20993</v>
      </c>
      <c r="I144">
        <v>734</v>
      </c>
      <c r="J144">
        <v>118</v>
      </c>
      <c r="K144">
        <v>353174</v>
      </c>
      <c r="L144">
        <f t="shared" ref="L144:L207" si="15">G144/J144</f>
        <v>3305.9745762711864</v>
      </c>
      <c r="M144">
        <f t="shared" si="12"/>
        <v>90.533061611617384</v>
      </c>
      <c r="N144">
        <f t="shared" si="13"/>
        <v>16.076294277929154</v>
      </c>
      <c r="O144">
        <f t="shared" si="14"/>
        <v>0.11734155996808811</v>
      </c>
    </row>
    <row r="145" spans="1:15" x14ac:dyDescent="0.3">
      <c r="A145">
        <v>144</v>
      </c>
      <c r="B145" s="1">
        <v>44241</v>
      </c>
      <c r="C145" t="s">
        <v>16</v>
      </c>
      <c r="D145" t="s">
        <v>17</v>
      </c>
      <c r="E145">
        <v>349043</v>
      </c>
      <c r="F145">
        <v>2452315</v>
      </c>
      <c r="G145">
        <v>60244.9</v>
      </c>
      <c r="H145">
        <v>14406</v>
      </c>
      <c r="I145">
        <v>110</v>
      </c>
      <c r="J145">
        <v>14</v>
      </c>
      <c r="K145">
        <v>63560</v>
      </c>
      <c r="L145">
        <f t="shared" si="15"/>
        <v>4303.2071428571426</v>
      </c>
      <c r="M145">
        <f t="shared" si="12"/>
        <v>105.50270645316036</v>
      </c>
      <c r="N145">
        <f t="shared" si="13"/>
        <v>12.727272727272727</v>
      </c>
      <c r="O145">
        <f t="shared" si="14"/>
        <v>0.58744492448971686</v>
      </c>
    </row>
    <row r="146" spans="1:15" x14ac:dyDescent="0.3">
      <c r="A146">
        <v>145</v>
      </c>
      <c r="B146" s="1">
        <v>44241</v>
      </c>
      <c r="C146" t="s">
        <v>18</v>
      </c>
      <c r="D146" t="s">
        <v>17</v>
      </c>
      <c r="E146">
        <v>348934</v>
      </c>
      <c r="F146">
        <v>7936534</v>
      </c>
      <c r="G146">
        <v>197948</v>
      </c>
      <c r="H146">
        <v>19797</v>
      </c>
      <c r="I146">
        <v>396</v>
      </c>
      <c r="J146">
        <v>30</v>
      </c>
      <c r="K146">
        <v>149430</v>
      </c>
      <c r="L146">
        <f t="shared" si="15"/>
        <v>6598.2666666666664</v>
      </c>
      <c r="M146">
        <f t="shared" si="12"/>
        <v>75.489522500858811</v>
      </c>
      <c r="N146">
        <f t="shared" si="13"/>
        <v>7.5757575757575761</v>
      </c>
      <c r="O146">
        <f t="shared" si="14"/>
        <v>0.24944138083450532</v>
      </c>
    </row>
    <row r="147" spans="1:15" x14ac:dyDescent="0.3">
      <c r="A147">
        <v>146</v>
      </c>
      <c r="B147" s="1">
        <v>44241</v>
      </c>
      <c r="C147" t="s">
        <v>19</v>
      </c>
      <c r="D147" t="s">
        <v>20</v>
      </c>
      <c r="E147">
        <v>89459845</v>
      </c>
      <c r="F147">
        <v>263754</v>
      </c>
      <c r="G147">
        <v>56440.3</v>
      </c>
      <c r="H147">
        <v>5409</v>
      </c>
      <c r="I147">
        <v>90</v>
      </c>
      <c r="J147">
        <v>11</v>
      </c>
      <c r="K147">
        <v>84183</v>
      </c>
      <c r="L147">
        <f t="shared" si="15"/>
        <v>5130.9363636363641</v>
      </c>
      <c r="M147">
        <f t="shared" si="12"/>
        <v>149.1540619025767</v>
      </c>
      <c r="N147">
        <f t="shared" si="13"/>
        <v>12.222222222222221</v>
      </c>
      <c r="O147">
        <f t="shared" si="14"/>
        <v>2.050774585409131</v>
      </c>
    </row>
    <row r="148" spans="1:15" x14ac:dyDescent="0.3">
      <c r="A148">
        <v>147</v>
      </c>
      <c r="B148" s="1">
        <v>44241</v>
      </c>
      <c r="C148" t="s">
        <v>21</v>
      </c>
      <c r="D148" t="s">
        <v>20</v>
      </c>
      <c r="E148">
        <v>127823</v>
      </c>
      <c r="F148">
        <v>3111389</v>
      </c>
      <c r="G148">
        <v>196998</v>
      </c>
      <c r="H148">
        <v>14390</v>
      </c>
      <c r="I148">
        <v>498</v>
      </c>
      <c r="J148">
        <v>48</v>
      </c>
      <c r="K148">
        <v>101280</v>
      </c>
      <c r="L148">
        <f t="shared" si="15"/>
        <v>4104.125</v>
      </c>
      <c r="M148">
        <f t="shared" si="12"/>
        <v>51.41168945877623</v>
      </c>
      <c r="N148">
        <f t="shared" si="13"/>
        <v>9.6385542168674707</v>
      </c>
      <c r="O148">
        <f t="shared" si="14"/>
        <v>0.46249440362487626</v>
      </c>
    </row>
    <row r="149" spans="1:15" x14ac:dyDescent="0.3">
      <c r="A149">
        <v>148</v>
      </c>
      <c r="B149" s="1">
        <v>44241</v>
      </c>
      <c r="C149" t="s">
        <v>22</v>
      </c>
      <c r="D149" t="s">
        <v>23</v>
      </c>
      <c r="E149">
        <v>10934</v>
      </c>
      <c r="F149">
        <v>2511956</v>
      </c>
      <c r="G149">
        <v>231751</v>
      </c>
      <c r="H149">
        <v>26993</v>
      </c>
      <c r="I149">
        <v>540</v>
      </c>
      <c r="J149">
        <v>85</v>
      </c>
      <c r="K149">
        <v>733550</v>
      </c>
      <c r="L149">
        <f t="shared" si="15"/>
        <v>2726.4823529411765</v>
      </c>
      <c r="M149">
        <f t="shared" si="12"/>
        <v>316.52506353802141</v>
      </c>
      <c r="N149">
        <f t="shared" si="13"/>
        <v>15.74074074074074</v>
      </c>
      <c r="O149">
        <f t="shared" si="14"/>
        <v>1.0745809241881625</v>
      </c>
    </row>
    <row r="150" spans="1:15" x14ac:dyDescent="0.3">
      <c r="A150">
        <v>149</v>
      </c>
      <c r="B150" s="1">
        <v>44241</v>
      </c>
      <c r="C150" t="s">
        <v>24</v>
      </c>
      <c r="D150" t="s">
        <v>17</v>
      </c>
      <c r="E150">
        <v>9034945</v>
      </c>
      <c r="F150">
        <v>3239400</v>
      </c>
      <c r="G150">
        <v>312844</v>
      </c>
      <c r="H150">
        <v>16197</v>
      </c>
      <c r="I150">
        <v>604</v>
      </c>
      <c r="J150">
        <v>72</v>
      </c>
      <c r="K150">
        <v>377352</v>
      </c>
      <c r="L150">
        <f t="shared" si="15"/>
        <v>4345.0555555555557</v>
      </c>
      <c r="M150">
        <f t="shared" si="12"/>
        <v>120.61986165628875</v>
      </c>
      <c r="N150">
        <f t="shared" si="13"/>
        <v>11.920529801324504</v>
      </c>
      <c r="O150">
        <f t="shared" si="14"/>
        <v>0.5</v>
      </c>
    </row>
    <row r="151" spans="1:15" x14ac:dyDescent="0.3">
      <c r="A151">
        <v>150</v>
      </c>
      <c r="B151" s="1">
        <v>44241</v>
      </c>
      <c r="C151" t="s">
        <v>25</v>
      </c>
      <c r="D151" t="s">
        <v>17</v>
      </c>
      <c r="E151">
        <v>983498</v>
      </c>
      <c r="F151">
        <v>5130500</v>
      </c>
      <c r="G151">
        <v>218228</v>
      </c>
      <c r="H151">
        <v>30602</v>
      </c>
      <c r="I151">
        <v>935</v>
      </c>
      <c r="J151">
        <v>54</v>
      </c>
      <c r="K151">
        <v>119718</v>
      </c>
      <c r="L151">
        <f t="shared" si="15"/>
        <v>4041.2592592592591</v>
      </c>
      <c r="M151">
        <f t="shared" si="12"/>
        <v>54.859138149091777</v>
      </c>
      <c r="N151">
        <f t="shared" si="13"/>
        <v>5.7754010695187166</v>
      </c>
      <c r="O151">
        <f t="shared" si="14"/>
        <v>0.59647207874476171</v>
      </c>
    </row>
    <row r="152" spans="1:15" x14ac:dyDescent="0.3">
      <c r="A152">
        <v>151</v>
      </c>
      <c r="B152" s="1">
        <v>44241</v>
      </c>
      <c r="C152" t="s">
        <v>26</v>
      </c>
      <c r="D152" t="s">
        <v>17</v>
      </c>
      <c r="E152">
        <v>4387490</v>
      </c>
      <c r="F152">
        <v>55495</v>
      </c>
      <c r="G152">
        <v>4764.34</v>
      </c>
      <c r="H152">
        <v>1790</v>
      </c>
      <c r="I152">
        <v>10</v>
      </c>
      <c r="J152">
        <v>2</v>
      </c>
      <c r="K152">
        <v>10902</v>
      </c>
      <c r="L152">
        <f t="shared" si="15"/>
        <v>2382.17</v>
      </c>
      <c r="M152">
        <f t="shared" si="12"/>
        <v>228.82497890578759</v>
      </c>
      <c r="N152">
        <f t="shared" si="13"/>
        <v>20</v>
      </c>
      <c r="O152">
        <f t="shared" si="14"/>
        <v>3.2255158122353365</v>
      </c>
    </row>
    <row r="153" spans="1:15" x14ac:dyDescent="0.3">
      <c r="A153">
        <v>152</v>
      </c>
      <c r="B153" s="1">
        <v>44241</v>
      </c>
      <c r="C153" t="s">
        <v>27</v>
      </c>
      <c r="D153" t="s">
        <v>17</v>
      </c>
      <c r="E153">
        <v>544756</v>
      </c>
      <c r="F153">
        <v>605220</v>
      </c>
      <c r="G153">
        <v>170719</v>
      </c>
      <c r="H153">
        <v>7205</v>
      </c>
      <c r="I153">
        <v>142</v>
      </c>
      <c r="J153">
        <v>21</v>
      </c>
      <c r="K153">
        <v>14280</v>
      </c>
      <c r="L153">
        <f t="shared" si="15"/>
        <v>8129.4761904761908</v>
      </c>
      <c r="M153">
        <f t="shared" si="12"/>
        <v>8.3646225669081939</v>
      </c>
      <c r="N153">
        <f t="shared" si="13"/>
        <v>14.788732394366196</v>
      </c>
      <c r="O153">
        <f t="shared" si="14"/>
        <v>1.1904761904761905</v>
      </c>
    </row>
    <row r="154" spans="1:15" x14ac:dyDescent="0.3">
      <c r="A154">
        <v>153</v>
      </c>
      <c r="B154" s="1">
        <v>44241</v>
      </c>
      <c r="C154" t="s">
        <v>28</v>
      </c>
      <c r="D154" t="s">
        <v>23</v>
      </c>
      <c r="E154">
        <v>374754</v>
      </c>
      <c r="F154">
        <v>2429465</v>
      </c>
      <c r="G154">
        <v>205870</v>
      </c>
      <c r="H154">
        <v>17998</v>
      </c>
      <c r="I154">
        <v>354</v>
      </c>
      <c r="J154">
        <v>53</v>
      </c>
      <c r="K154">
        <v>306817</v>
      </c>
      <c r="L154">
        <f t="shared" si="15"/>
        <v>3884.3396226415093</v>
      </c>
      <c r="M154">
        <f t="shared" si="12"/>
        <v>149.03434206052364</v>
      </c>
      <c r="N154">
        <f t="shared" si="13"/>
        <v>14.971751412429379</v>
      </c>
      <c r="O154">
        <f t="shared" si="14"/>
        <v>0.74082153889848179</v>
      </c>
    </row>
    <row r="155" spans="1:15" x14ac:dyDescent="0.3">
      <c r="A155">
        <v>154</v>
      </c>
      <c r="B155" s="1">
        <v>44241</v>
      </c>
      <c r="C155" t="s">
        <v>29</v>
      </c>
      <c r="D155" t="s">
        <v>30</v>
      </c>
      <c r="E155">
        <v>39889</v>
      </c>
      <c r="F155">
        <v>7218480</v>
      </c>
      <c r="G155">
        <v>225274</v>
      </c>
      <c r="H155">
        <v>25190</v>
      </c>
      <c r="I155">
        <v>504</v>
      </c>
      <c r="J155">
        <v>76</v>
      </c>
      <c r="K155">
        <v>236056</v>
      </c>
      <c r="L155">
        <f t="shared" si="15"/>
        <v>2964.1315789473683</v>
      </c>
      <c r="M155">
        <f t="shared" si="12"/>
        <v>104.78617150669851</v>
      </c>
      <c r="N155">
        <f t="shared" si="13"/>
        <v>15.079365079365079</v>
      </c>
      <c r="O155">
        <f t="shared" si="14"/>
        <v>0.34896543316598505</v>
      </c>
    </row>
    <row r="156" spans="1:15" x14ac:dyDescent="0.3">
      <c r="A156">
        <v>155</v>
      </c>
      <c r="B156" s="1">
        <v>44242</v>
      </c>
      <c r="C156" t="s">
        <v>16</v>
      </c>
      <c r="D156" t="s">
        <v>17</v>
      </c>
      <c r="E156">
        <v>349043</v>
      </c>
      <c r="F156">
        <v>3361800</v>
      </c>
      <c r="G156">
        <v>168064</v>
      </c>
      <c r="H156">
        <v>16809</v>
      </c>
      <c r="I156">
        <v>247</v>
      </c>
      <c r="J156">
        <v>30</v>
      </c>
      <c r="K156">
        <v>149430</v>
      </c>
      <c r="L156">
        <f t="shared" si="15"/>
        <v>5602.1333333333332</v>
      </c>
      <c r="M156">
        <f t="shared" si="12"/>
        <v>88.912557121096725</v>
      </c>
      <c r="N156">
        <f t="shared" si="13"/>
        <v>12.145748987854251</v>
      </c>
      <c r="O156">
        <f t="shared" si="14"/>
        <v>0.5</v>
      </c>
    </row>
    <row r="157" spans="1:15" x14ac:dyDescent="0.3">
      <c r="A157">
        <v>156</v>
      </c>
      <c r="B157" s="1">
        <v>44242</v>
      </c>
      <c r="C157" t="s">
        <v>18</v>
      </c>
      <c r="D157" t="s">
        <v>17</v>
      </c>
      <c r="E157">
        <v>348934</v>
      </c>
      <c r="F157">
        <v>3441545</v>
      </c>
      <c r="G157">
        <v>593576</v>
      </c>
      <c r="H157">
        <v>23103</v>
      </c>
      <c r="I157">
        <v>694</v>
      </c>
      <c r="J157">
        <v>81</v>
      </c>
      <c r="K157">
        <v>403461</v>
      </c>
      <c r="L157">
        <f t="shared" si="15"/>
        <v>7328.0987654320988</v>
      </c>
      <c r="M157">
        <f t="shared" si="12"/>
        <v>67.971245468145611</v>
      </c>
      <c r="N157">
        <f t="shared" si="13"/>
        <v>11.671469740634006</v>
      </c>
      <c r="O157">
        <f t="shared" si="14"/>
        <v>0.67129733884054987</v>
      </c>
    </row>
    <row r="158" spans="1:15" x14ac:dyDescent="0.3">
      <c r="A158">
        <v>157</v>
      </c>
      <c r="B158" s="1">
        <v>44242</v>
      </c>
      <c r="C158" t="s">
        <v>19</v>
      </c>
      <c r="D158" t="s">
        <v>20</v>
      </c>
      <c r="E158">
        <v>89459845</v>
      </c>
      <c r="F158">
        <v>315350</v>
      </c>
      <c r="G158">
        <v>82930.7</v>
      </c>
      <c r="H158">
        <v>6307</v>
      </c>
      <c r="I158">
        <v>126</v>
      </c>
      <c r="J158">
        <v>19</v>
      </c>
      <c r="K158">
        <v>138073</v>
      </c>
      <c r="L158">
        <f t="shared" si="15"/>
        <v>4364.773684210526</v>
      </c>
      <c r="M158">
        <f t="shared" si="12"/>
        <v>166.49202285763897</v>
      </c>
      <c r="N158">
        <f t="shared" si="13"/>
        <v>15.079365079365079</v>
      </c>
      <c r="O158">
        <f t="shared" si="14"/>
        <v>2</v>
      </c>
    </row>
    <row r="159" spans="1:15" x14ac:dyDescent="0.3">
      <c r="A159">
        <v>158</v>
      </c>
      <c r="B159" s="1">
        <v>44242</v>
      </c>
      <c r="C159" t="s">
        <v>21</v>
      </c>
      <c r="D159" t="s">
        <v>20</v>
      </c>
      <c r="E159">
        <v>127823</v>
      </c>
      <c r="F159">
        <v>3359600</v>
      </c>
      <c r="G159">
        <v>124854</v>
      </c>
      <c r="H159">
        <v>16798</v>
      </c>
      <c r="I159">
        <v>336</v>
      </c>
      <c r="J159">
        <v>31</v>
      </c>
      <c r="K159">
        <v>92411</v>
      </c>
      <c r="L159">
        <f t="shared" si="15"/>
        <v>4027.5483870967741</v>
      </c>
      <c r="M159">
        <f t="shared" si="12"/>
        <v>74.015249811780166</v>
      </c>
      <c r="N159">
        <f t="shared" si="13"/>
        <v>9.2261904761904763</v>
      </c>
      <c r="O159">
        <f t="shared" si="14"/>
        <v>0.5</v>
      </c>
    </row>
    <row r="160" spans="1:15" x14ac:dyDescent="0.3">
      <c r="A160">
        <v>159</v>
      </c>
      <c r="B160" s="1">
        <v>44242</v>
      </c>
      <c r="C160" t="s">
        <v>22</v>
      </c>
      <c r="D160" t="s">
        <v>23</v>
      </c>
      <c r="E160">
        <v>10934</v>
      </c>
      <c r="F160">
        <v>2478877</v>
      </c>
      <c r="G160">
        <v>151480</v>
      </c>
      <c r="H160">
        <v>31504</v>
      </c>
      <c r="I160">
        <v>630</v>
      </c>
      <c r="J160">
        <v>98</v>
      </c>
      <c r="K160">
        <v>782138</v>
      </c>
      <c r="L160">
        <f t="shared" si="15"/>
        <v>1545.7142857142858</v>
      </c>
      <c r="M160">
        <f t="shared" si="12"/>
        <v>516.33086876155267</v>
      </c>
      <c r="N160">
        <f t="shared" si="13"/>
        <v>15.555555555555555</v>
      </c>
      <c r="O160">
        <f t="shared" si="14"/>
        <v>1.2708980719898568</v>
      </c>
    </row>
    <row r="161" spans="1:15" x14ac:dyDescent="0.3">
      <c r="A161">
        <v>160</v>
      </c>
      <c r="B161" s="1">
        <v>44242</v>
      </c>
      <c r="C161" t="s">
        <v>24</v>
      </c>
      <c r="D161" t="s">
        <v>17</v>
      </c>
      <c r="E161">
        <v>9034945</v>
      </c>
      <c r="F161">
        <v>3780200</v>
      </c>
      <c r="G161">
        <v>136269</v>
      </c>
      <c r="H161">
        <v>18901</v>
      </c>
      <c r="I161">
        <v>378</v>
      </c>
      <c r="J161">
        <v>45</v>
      </c>
      <c r="K161">
        <v>269145</v>
      </c>
      <c r="L161">
        <f t="shared" si="15"/>
        <v>3028.2</v>
      </c>
      <c r="M161">
        <f t="shared" si="12"/>
        <v>197.51007198996103</v>
      </c>
      <c r="N161">
        <f t="shared" si="13"/>
        <v>11.904761904761903</v>
      </c>
      <c r="O161">
        <f t="shared" si="14"/>
        <v>0.5</v>
      </c>
    </row>
    <row r="162" spans="1:15" x14ac:dyDescent="0.3">
      <c r="A162">
        <v>161</v>
      </c>
      <c r="B162" s="1">
        <v>44242</v>
      </c>
      <c r="C162" t="s">
        <v>25</v>
      </c>
      <c r="D162" t="s">
        <v>17</v>
      </c>
      <c r="E162">
        <v>983498</v>
      </c>
      <c r="F162">
        <v>7138400</v>
      </c>
      <c r="G162">
        <v>37098.6</v>
      </c>
      <c r="H162">
        <v>35692</v>
      </c>
      <c r="I162">
        <v>916</v>
      </c>
      <c r="J162">
        <v>11</v>
      </c>
      <c r="K162">
        <v>21791</v>
      </c>
      <c r="L162">
        <f t="shared" si="15"/>
        <v>3372.6</v>
      </c>
      <c r="M162">
        <f t="shared" si="12"/>
        <v>58.73806558738066</v>
      </c>
      <c r="N162">
        <f t="shared" si="13"/>
        <v>1.2008733624454149</v>
      </c>
      <c r="O162">
        <f t="shared" si="14"/>
        <v>0.5</v>
      </c>
    </row>
    <row r="163" spans="1:15" x14ac:dyDescent="0.3">
      <c r="A163">
        <v>162</v>
      </c>
      <c r="B163" s="1">
        <v>44242</v>
      </c>
      <c r="C163" t="s">
        <v>26</v>
      </c>
      <c r="D163" t="s">
        <v>17</v>
      </c>
      <c r="E163">
        <v>4387490</v>
      </c>
      <c r="F163">
        <v>63986</v>
      </c>
      <c r="G163">
        <v>14609.5</v>
      </c>
      <c r="H163">
        <v>2099</v>
      </c>
      <c r="I163">
        <v>28</v>
      </c>
      <c r="J163">
        <v>5</v>
      </c>
      <c r="K163">
        <v>24905</v>
      </c>
      <c r="L163">
        <f t="shared" si="15"/>
        <v>2921.9</v>
      </c>
      <c r="M163">
        <f t="shared" si="12"/>
        <v>170.47126869502719</v>
      </c>
      <c r="N163">
        <f t="shared" si="13"/>
        <v>17.857142857142858</v>
      </c>
      <c r="O163">
        <f t="shared" si="14"/>
        <v>3.2804050886131342</v>
      </c>
    </row>
    <row r="164" spans="1:15" x14ac:dyDescent="0.3">
      <c r="A164">
        <v>163</v>
      </c>
      <c r="B164" s="1">
        <v>44242</v>
      </c>
      <c r="C164" t="s">
        <v>27</v>
      </c>
      <c r="D164" t="s">
        <v>17</v>
      </c>
      <c r="E164">
        <v>544756</v>
      </c>
      <c r="F164">
        <v>1093435</v>
      </c>
      <c r="G164">
        <v>6587.76</v>
      </c>
      <c r="H164">
        <v>8402</v>
      </c>
      <c r="I164">
        <v>4</v>
      </c>
      <c r="J164">
        <v>1</v>
      </c>
      <c r="K164">
        <v>741</v>
      </c>
      <c r="L164">
        <f t="shared" si="15"/>
        <v>6587.76</v>
      </c>
      <c r="M164">
        <f t="shared" si="12"/>
        <v>11.248132901016431</v>
      </c>
      <c r="N164">
        <f t="shared" si="13"/>
        <v>25</v>
      </c>
      <c r="O164">
        <f t="shared" si="14"/>
        <v>0.76840415754022873</v>
      </c>
    </row>
    <row r="165" spans="1:15" x14ac:dyDescent="0.3">
      <c r="A165">
        <v>164</v>
      </c>
      <c r="B165" s="1">
        <v>44242</v>
      </c>
      <c r="C165" t="s">
        <v>28</v>
      </c>
      <c r="D165" t="s">
        <v>23</v>
      </c>
      <c r="E165">
        <v>374754</v>
      </c>
      <c r="F165">
        <v>2100700</v>
      </c>
      <c r="G165">
        <v>82452</v>
      </c>
      <c r="H165">
        <v>21007</v>
      </c>
      <c r="I165">
        <v>122</v>
      </c>
      <c r="J165">
        <v>24</v>
      </c>
      <c r="K165">
        <v>103392</v>
      </c>
      <c r="L165">
        <f t="shared" si="15"/>
        <v>3435.5</v>
      </c>
      <c r="M165">
        <f t="shared" si="12"/>
        <v>125.396594382186</v>
      </c>
      <c r="N165">
        <f t="shared" si="13"/>
        <v>19.672131147540984</v>
      </c>
      <c r="O165">
        <f t="shared" si="14"/>
        <v>1</v>
      </c>
    </row>
    <row r="166" spans="1:15" x14ac:dyDescent="0.3">
      <c r="A166">
        <v>165</v>
      </c>
      <c r="B166" s="1">
        <v>44242</v>
      </c>
      <c r="C166" t="s">
        <v>29</v>
      </c>
      <c r="D166" t="s">
        <v>30</v>
      </c>
      <c r="E166">
        <v>39889</v>
      </c>
      <c r="F166">
        <v>8747458</v>
      </c>
      <c r="G166">
        <v>543275</v>
      </c>
      <c r="H166">
        <v>29390</v>
      </c>
      <c r="I166">
        <v>1061</v>
      </c>
      <c r="J166">
        <v>171</v>
      </c>
      <c r="K166">
        <v>809685</v>
      </c>
      <c r="L166">
        <f t="shared" si="15"/>
        <v>3177.0467836257308</v>
      </c>
      <c r="M166">
        <f t="shared" si="12"/>
        <v>149.03778012976855</v>
      </c>
      <c r="N166">
        <f t="shared" si="13"/>
        <v>16.116870876531575</v>
      </c>
      <c r="O166">
        <f t="shared" si="14"/>
        <v>0.33598332224058691</v>
      </c>
    </row>
    <row r="167" spans="1:15" x14ac:dyDescent="0.3">
      <c r="A167">
        <v>166</v>
      </c>
      <c r="B167" s="1">
        <v>44243</v>
      </c>
      <c r="C167" t="s">
        <v>16</v>
      </c>
      <c r="D167" t="s">
        <v>17</v>
      </c>
      <c r="E167">
        <v>349043</v>
      </c>
      <c r="F167">
        <v>3839000</v>
      </c>
      <c r="G167">
        <v>393027</v>
      </c>
      <c r="H167">
        <v>19195</v>
      </c>
      <c r="I167">
        <v>384</v>
      </c>
      <c r="J167">
        <v>64</v>
      </c>
      <c r="K167">
        <v>336448</v>
      </c>
      <c r="L167">
        <f t="shared" si="15"/>
        <v>6141.046875</v>
      </c>
      <c r="M167">
        <f t="shared" si="12"/>
        <v>85.604296905810543</v>
      </c>
      <c r="N167">
        <f t="shared" si="13"/>
        <v>16.666666666666664</v>
      </c>
      <c r="O167">
        <f t="shared" si="14"/>
        <v>0.5</v>
      </c>
    </row>
    <row r="168" spans="1:15" x14ac:dyDescent="0.3">
      <c r="A168">
        <v>167</v>
      </c>
      <c r="B168" s="1">
        <v>44243</v>
      </c>
      <c r="C168" t="s">
        <v>18</v>
      </c>
      <c r="D168" t="s">
        <v>17</v>
      </c>
      <c r="E168">
        <v>348934</v>
      </c>
      <c r="F168">
        <v>5280000</v>
      </c>
      <c r="G168">
        <v>595176</v>
      </c>
      <c r="H168">
        <v>26400</v>
      </c>
      <c r="I168">
        <v>923</v>
      </c>
      <c r="J168">
        <v>80</v>
      </c>
      <c r="K168">
        <v>392160</v>
      </c>
      <c r="L168">
        <f t="shared" si="15"/>
        <v>7439.7</v>
      </c>
      <c r="M168">
        <f t="shared" si="12"/>
        <v>65.889753619097547</v>
      </c>
      <c r="N168">
        <f t="shared" si="13"/>
        <v>8.6673889490790899</v>
      </c>
      <c r="O168">
        <f t="shared" si="14"/>
        <v>0.5</v>
      </c>
    </row>
    <row r="169" spans="1:15" x14ac:dyDescent="0.3">
      <c r="A169">
        <v>168</v>
      </c>
      <c r="B169" s="1">
        <v>44243</v>
      </c>
      <c r="C169" t="s">
        <v>19</v>
      </c>
      <c r="D169" t="s">
        <v>20</v>
      </c>
      <c r="E169">
        <v>89459845</v>
      </c>
      <c r="F169">
        <v>373184</v>
      </c>
      <c r="G169">
        <v>102053</v>
      </c>
      <c r="H169">
        <v>7198</v>
      </c>
      <c r="I169">
        <v>144</v>
      </c>
      <c r="J169">
        <v>22</v>
      </c>
      <c r="K169">
        <v>185482</v>
      </c>
      <c r="L169">
        <f t="shared" si="15"/>
        <v>4638.772727272727</v>
      </c>
      <c r="M169">
        <f t="shared" si="12"/>
        <v>181.75065897131884</v>
      </c>
      <c r="N169">
        <f t="shared" si="13"/>
        <v>15.277777777777779</v>
      </c>
      <c r="O169">
        <f t="shared" si="14"/>
        <v>1.9288072371805864</v>
      </c>
    </row>
    <row r="170" spans="1:15" x14ac:dyDescent="0.3">
      <c r="A170">
        <v>169</v>
      </c>
      <c r="B170" s="1">
        <v>44243</v>
      </c>
      <c r="C170" t="s">
        <v>21</v>
      </c>
      <c r="D170" t="s">
        <v>20</v>
      </c>
      <c r="E170">
        <v>127823</v>
      </c>
      <c r="F170">
        <v>3841400</v>
      </c>
      <c r="G170">
        <v>271906</v>
      </c>
      <c r="H170">
        <v>19207</v>
      </c>
      <c r="I170">
        <v>666</v>
      </c>
      <c r="J170">
        <v>67</v>
      </c>
      <c r="K170">
        <v>199727</v>
      </c>
      <c r="L170">
        <f t="shared" si="15"/>
        <v>4058.2985074626868</v>
      </c>
      <c r="M170">
        <f t="shared" si="12"/>
        <v>73.454429104175716</v>
      </c>
      <c r="N170">
        <f t="shared" si="13"/>
        <v>10.06006006006006</v>
      </c>
      <c r="O170">
        <f t="shared" si="14"/>
        <v>0.5</v>
      </c>
    </row>
    <row r="171" spans="1:15" x14ac:dyDescent="0.3">
      <c r="A171">
        <v>170</v>
      </c>
      <c r="B171" s="1">
        <v>44243</v>
      </c>
      <c r="C171" t="s">
        <v>22</v>
      </c>
      <c r="D171" t="s">
        <v>23</v>
      </c>
      <c r="E171">
        <v>10934</v>
      </c>
      <c r="F171">
        <v>4371118</v>
      </c>
      <c r="G171">
        <v>221258</v>
      </c>
      <c r="H171">
        <v>35999</v>
      </c>
      <c r="I171">
        <v>720</v>
      </c>
      <c r="J171">
        <v>128</v>
      </c>
      <c r="K171">
        <v>1021570</v>
      </c>
      <c r="L171">
        <f t="shared" si="15"/>
        <v>1728.578125</v>
      </c>
      <c r="M171">
        <f t="shared" si="12"/>
        <v>461.70985907854185</v>
      </c>
      <c r="N171">
        <f t="shared" si="13"/>
        <v>17.777777777777779</v>
      </c>
      <c r="O171">
        <f t="shared" si="14"/>
        <v>0.82356504674547781</v>
      </c>
    </row>
    <row r="172" spans="1:15" x14ac:dyDescent="0.3">
      <c r="A172">
        <v>171</v>
      </c>
      <c r="B172" s="1">
        <v>44243</v>
      </c>
      <c r="C172" t="s">
        <v>24</v>
      </c>
      <c r="D172" t="s">
        <v>17</v>
      </c>
      <c r="E172">
        <v>9034945</v>
      </c>
      <c r="F172">
        <v>4319200</v>
      </c>
      <c r="G172">
        <v>143680</v>
      </c>
      <c r="H172">
        <v>21596</v>
      </c>
      <c r="I172">
        <v>432</v>
      </c>
      <c r="J172">
        <v>34</v>
      </c>
      <c r="K172">
        <v>171972</v>
      </c>
      <c r="L172">
        <f t="shared" si="15"/>
        <v>4225.8823529411766</v>
      </c>
      <c r="M172">
        <f t="shared" si="12"/>
        <v>119.69097995545657</v>
      </c>
      <c r="N172">
        <f t="shared" si="13"/>
        <v>7.8703703703703702</v>
      </c>
      <c r="O172">
        <f t="shared" si="14"/>
        <v>0.5</v>
      </c>
    </row>
    <row r="173" spans="1:15" x14ac:dyDescent="0.3">
      <c r="A173">
        <v>172</v>
      </c>
      <c r="B173" s="1">
        <v>44243</v>
      </c>
      <c r="C173" t="s">
        <v>25</v>
      </c>
      <c r="D173" t="s">
        <v>17</v>
      </c>
      <c r="E173">
        <v>983498</v>
      </c>
      <c r="F173">
        <v>15988504</v>
      </c>
      <c r="G173">
        <v>103731</v>
      </c>
      <c r="H173">
        <v>40794</v>
      </c>
      <c r="I173">
        <v>816</v>
      </c>
      <c r="J173">
        <v>24</v>
      </c>
      <c r="K173">
        <v>41424</v>
      </c>
      <c r="L173">
        <f t="shared" si="15"/>
        <v>4322.125</v>
      </c>
      <c r="M173">
        <f t="shared" si="12"/>
        <v>39.93406021343668</v>
      </c>
      <c r="N173">
        <f t="shared" si="13"/>
        <v>2.9411764705882351</v>
      </c>
      <c r="O173">
        <f t="shared" si="14"/>
        <v>0.2551458222733034</v>
      </c>
    </row>
    <row r="174" spans="1:15" x14ac:dyDescent="0.3">
      <c r="A174">
        <v>173</v>
      </c>
      <c r="B174" s="1">
        <v>44243</v>
      </c>
      <c r="C174" t="s">
        <v>26</v>
      </c>
      <c r="D174" t="s">
        <v>17</v>
      </c>
      <c r="E174">
        <v>4387490</v>
      </c>
      <c r="F174">
        <v>80233</v>
      </c>
      <c r="G174">
        <v>31712</v>
      </c>
      <c r="H174">
        <v>2407</v>
      </c>
      <c r="I174">
        <v>48</v>
      </c>
      <c r="J174">
        <v>12</v>
      </c>
      <c r="K174">
        <v>59772</v>
      </c>
      <c r="L174">
        <f t="shared" si="15"/>
        <v>2642.6666666666665</v>
      </c>
      <c r="M174">
        <f t="shared" si="12"/>
        <v>188.48385469223007</v>
      </c>
      <c r="N174">
        <f t="shared" si="13"/>
        <v>25</v>
      </c>
      <c r="O174">
        <f t="shared" si="14"/>
        <v>3.0000124636994752</v>
      </c>
    </row>
    <row r="175" spans="1:15" x14ac:dyDescent="0.3">
      <c r="A175">
        <v>174</v>
      </c>
      <c r="B175" s="1">
        <v>44243</v>
      </c>
      <c r="C175" t="s">
        <v>27</v>
      </c>
      <c r="D175" t="s">
        <v>17</v>
      </c>
      <c r="E175">
        <v>544756</v>
      </c>
      <c r="F175">
        <v>1576818</v>
      </c>
      <c r="G175">
        <v>345629</v>
      </c>
      <c r="H175">
        <v>9597</v>
      </c>
      <c r="I175">
        <v>292</v>
      </c>
      <c r="J175">
        <v>39</v>
      </c>
      <c r="K175">
        <v>25857</v>
      </c>
      <c r="L175">
        <f t="shared" si="15"/>
        <v>8862.2820512820508</v>
      </c>
      <c r="M175">
        <f t="shared" si="12"/>
        <v>7.4811430753785126</v>
      </c>
      <c r="N175">
        <f t="shared" si="13"/>
        <v>13.356164383561644</v>
      </c>
      <c r="O175">
        <f t="shared" si="14"/>
        <v>0.60863079949620058</v>
      </c>
    </row>
    <row r="176" spans="1:15" x14ac:dyDescent="0.3">
      <c r="A176">
        <v>175</v>
      </c>
      <c r="B176" s="1">
        <v>44243</v>
      </c>
      <c r="C176" t="s">
        <v>28</v>
      </c>
      <c r="D176" t="s">
        <v>23</v>
      </c>
      <c r="E176">
        <v>374754</v>
      </c>
      <c r="F176">
        <v>3937010</v>
      </c>
      <c r="G176">
        <v>620903</v>
      </c>
      <c r="H176">
        <v>23994</v>
      </c>
      <c r="I176">
        <v>833</v>
      </c>
      <c r="J176">
        <v>160</v>
      </c>
      <c r="K176">
        <v>939360</v>
      </c>
      <c r="L176">
        <f t="shared" si="15"/>
        <v>3880.6437500000002</v>
      </c>
      <c r="M176">
        <f t="shared" si="12"/>
        <v>151.28933182799892</v>
      </c>
      <c r="N176">
        <f t="shared" si="13"/>
        <v>19.207683073229294</v>
      </c>
      <c r="O176">
        <f t="shared" si="14"/>
        <v>0.60944727089847373</v>
      </c>
    </row>
    <row r="177" spans="1:15" x14ac:dyDescent="0.3">
      <c r="A177">
        <v>176</v>
      </c>
      <c r="B177" s="1">
        <v>44243</v>
      </c>
      <c r="C177" t="s">
        <v>29</v>
      </c>
      <c r="D177" t="s">
        <v>30</v>
      </c>
      <c r="E177">
        <v>39889</v>
      </c>
      <c r="F177">
        <v>56876855</v>
      </c>
      <c r="G177">
        <v>206424</v>
      </c>
      <c r="H177">
        <v>33592</v>
      </c>
      <c r="I177">
        <v>416</v>
      </c>
      <c r="J177">
        <v>62</v>
      </c>
      <c r="K177">
        <v>246822</v>
      </c>
      <c r="L177">
        <f t="shared" si="15"/>
        <v>3329.4193548387098</v>
      </c>
      <c r="M177">
        <f t="shared" si="12"/>
        <v>119.57039879083828</v>
      </c>
      <c r="N177">
        <f t="shared" si="13"/>
        <v>14.903846153846153</v>
      </c>
      <c r="O177">
        <f t="shared" si="14"/>
        <v>5.9060930847881797E-2</v>
      </c>
    </row>
    <row r="178" spans="1:15" x14ac:dyDescent="0.3">
      <c r="A178">
        <v>177</v>
      </c>
      <c r="B178" s="1">
        <v>44244</v>
      </c>
      <c r="C178" t="s">
        <v>16</v>
      </c>
      <c r="D178" t="s">
        <v>17</v>
      </c>
      <c r="E178">
        <v>349043</v>
      </c>
      <c r="F178">
        <v>4320600</v>
      </c>
      <c r="G178">
        <v>489831</v>
      </c>
      <c r="H178">
        <v>21603</v>
      </c>
      <c r="I178">
        <v>652</v>
      </c>
      <c r="J178">
        <v>86</v>
      </c>
      <c r="K178">
        <v>428366</v>
      </c>
      <c r="L178">
        <f t="shared" si="15"/>
        <v>5695.7093023255811</v>
      </c>
      <c r="M178">
        <f t="shared" si="12"/>
        <v>87.451794598545206</v>
      </c>
      <c r="N178">
        <f t="shared" si="13"/>
        <v>13.190184049079754</v>
      </c>
      <c r="O178">
        <f t="shared" si="14"/>
        <v>0.5</v>
      </c>
    </row>
    <row r="179" spans="1:15" x14ac:dyDescent="0.3">
      <c r="A179">
        <v>178</v>
      </c>
      <c r="B179" s="1">
        <v>44244</v>
      </c>
      <c r="C179" t="s">
        <v>18</v>
      </c>
      <c r="D179" t="s">
        <v>17</v>
      </c>
      <c r="E179">
        <v>348934</v>
      </c>
      <c r="F179">
        <v>6102420</v>
      </c>
      <c r="G179">
        <v>403691</v>
      </c>
      <c r="H179">
        <v>29704</v>
      </c>
      <c r="I179">
        <v>594</v>
      </c>
      <c r="J179">
        <v>61</v>
      </c>
      <c r="K179">
        <v>303841</v>
      </c>
      <c r="L179">
        <f t="shared" si="15"/>
        <v>6617.8852459016398</v>
      </c>
      <c r="M179">
        <f t="shared" si="12"/>
        <v>75.265735426353316</v>
      </c>
      <c r="N179">
        <f t="shared" si="13"/>
        <v>10.26936026936027</v>
      </c>
      <c r="O179">
        <f t="shared" si="14"/>
        <v>0.48675771251405181</v>
      </c>
    </row>
    <row r="180" spans="1:15" x14ac:dyDescent="0.3">
      <c r="A180">
        <v>179</v>
      </c>
      <c r="B180" s="1">
        <v>44244</v>
      </c>
      <c r="C180" t="s">
        <v>19</v>
      </c>
      <c r="D180" t="s">
        <v>20</v>
      </c>
      <c r="E180">
        <v>89459845</v>
      </c>
      <c r="F180">
        <v>490058</v>
      </c>
      <c r="G180">
        <v>116213</v>
      </c>
      <c r="H180">
        <v>8104</v>
      </c>
      <c r="I180">
        <v>162</v>
      </c>
      <c r="J180">
        <v>31</v>
      </c>
      <c r="K180">
        <v>227726</v>
      </c>
      <c r="L180">
        <f t="shared" si="15"/>
        <v>3748.8064516129034</v>
      </c>
      <c r="M180">
        <f t="shared" si="12"/>
        <v>195.95570202989339</v>
      </c>
      <c r="N180">
        <f t="shared" si="13"/>
        <v>19.1358024691358</v>
      </c>
      <c r="O180">
        <f t="shared" si="14"/>
        <v>1.6536818090919849</v>
      </c>
    </row>
    <row r="181" spans="1:15" x14ac:dyDescent="0.3">
      <c r="A181">
        <v>180</v>
      </c>
      <c r="B181" s="1">
        <v>44244</v>
      </c>
      <c r="C181" t="s">
        <v>21</v>
      </c>
      <c r="D181" t="s">
        <v>20</v>
      </c>
      <c r="E181">
        <v>127823</v>
      </c>
      <c r="F181">
        <v>4319200</v>
      </c>
      <c r="G181">
        <v>180223</v>
      </c>
      <c r="H181">
        <v>21596</v>
      </c>
      <c r="I181">
        <v>442</v>
      </c>
      <c r="J181">
        <v>44</v>
      </c>
      <c r="K181">
        <v>136708</v>
      </c>
      <c r="L181">
        <f t="shared" si="15"/>
        <v>4095.9772727272725</v>
      </c>
      <c r="M181">
        <f t="shared" si="12"/>
        <v>75.854913079906567</v>
      </c>
      <c r="N181">
        <f t="shared" si="13"/>
        <v>9.9547511312217196</v>
      </c>
      <c r="O181">
        <f t="shared" si="14"/>
        <v>0.5</v>
      </c>
    </row>
    <row r="182" spans="1:15" x14ac:dyDescent="0.3">
      <c r="A182">
        <v>181</v>
      </c>
      <c r="B182" s="1">
        <v>44244</v>
      </c>
      <c r="C182" t="s">
        <v>22</v>
      </c>
      <c r="D182" t="s">
        <v>23</v>
      </c>
      <c r="E182">
        <v>10934</v>
      </c>
      <c r="F182">
        <v>4049400</v>
      </c>
      <c r="G182">
        <v>363811</v>
      </c>
      <c r="H182">
        <v>40494</v>
      </c>
      <c r="I182">
        <v>746</v>
      </c>
      <c r="J182">
        <v>149</v>
      </c>
      <c r="K182">
        <v>1189170</v>
      </c>
      <c r="L182">
        <f t="shared" si="15"/>
        <v>2441.6845637583892</v>
      </c>
      <c r="M182">
        <f t="shared" si="12"/>
        <v>326.86477319267419</v>
      </c>
      <c r="N182">
        <f t="shared" si="13"/>
        <v>19.973190348525467</v>
      </c>
      <c r="O182">
        <f t="shared" si="14"/>
        <v>1</v>
      </c>
    </row>
    <row r="183" spans="1:15" x14ac:dyDescent="0.3">
      <c r="A183">
        <v>182</v>
      </c>
      <c r="B183" s="1">
        <v>44244</v>
      </c>
      <c r="C183" t="s">
        <v>24</v>
      </c>
      <c r="D183" t="s">
        <v>17</v>
      </c>
      <c r="E183">
        <v>9034945</v>
      </c>
      <c r="F183">
        <v>4999407</v>
      </c>
      <c r="G183">
        <v>246023</v>
      </c>
      <c r="H183">
        <v>24294</v>
      </c>
      <c r="I183">
        <v>606</v>
      </c>
      <c r="J183">
        <v>73</v>
      </c>
      <c r="K183">
        <v>496546</v>
      </c>
      <c r="L183">
        <f t="shared" si="15"/>
        <v>3370.178082191781</v>
      </c>
      <c r="M183">
        <f t="shared" si="12"/>
        <v>201.82909727952264</v>
      </c>
      <c r="N183">
        <f t="shared" si="13"/>
        <v>12.046204620462046</v>
      </c>
      <c r="O183">
        <f t="shared" si="14"/>
        <v>0.48593763220317931</v>
      </c>
    </row>
    <row r="184" spans="1:15" x14ac:dyDescent="0.3">
      <c r="A184">
        <v>183</v>
      </c>
      <c r="B184" s="1">
        <v>44244</v>
      </c>
      <c r="C184" t="s">
        <v>25</v>
      </c>
      <c r="D184" t="s">
        <v>17</v>
      </c>
      <c r="E184">
        <v>983498</v>
      </c>
      <c r="F184">
        <v>32964848</v>
      </c>
      <c r="G184">
        <v>162819</v>
      </c>
      <c r="H184">
        <v>45907</v>
      </c>
      <c r="I184">
        <v>974</v>
      </c>
      <c r="J184">
        <v>46</v>
      </c>
      <c r="K184">
        <v>121900</v>
      </c>
      <c r="L184">
        <f t="shared" si="15"/>
        <v>3539.5434782608695</v>
      </c>
      <c r="M184">
        <f t="shared" si="12"/>
        <v>74.868412163199622</v>
      </c>
      <c r="N184">
        <f t="shared" si="13"/>
        <v>4.7227926078028748</v>
      </c>
      <c r="O184">
        <f t="shared" si="14"/>
        <v>0.13926046314546939</v>
      </c>
    </row>
    <row r="185" spans="1:15" x14ac:dyDescent="0.3">
      <c r="A185">
        <v>184</v>
      </c>
      <c r="B185" s="1">
        <v>44244</v>
      </c>
      <c r="C185" t="s">
        <v>26</v>
      </c>
      <c r="D185" t="s">
        <v>17</v>
      </c>
      <c r="E185">
        <v>4387490</v>
      </c>
      <c r="F185">
        <v>84332</v>
      </c>
      <c r="G185">
        <v>31422.5</v>
      </c>
      <c r="H185">
        <v>2698</v>
      </c>
      <c r="I185">
        <v>54</v>
      </c>
      <c r="J185">
        <v>11</v>
      </c>
      <c r="K185">
        <v>45441</v>
      </c>
      <c r="L185">
        <f t="shared" si="15"/>
        <v>2856.590909090909</v>
      </c>
      <c r="M185">
        <f t="shared" si="12"/>
        <v>144.61293659002308</v>
      </c>
      <c r="N185">
        <f t="shared" si="13"/>
        <v>20.37037037037037</v>
      </c>
      <c r="O185">
        <f t="shared" si="14"/>
        <v>3.199260067352844</v>
      </c>
    </row>
    <row r="186" spans="1:15" x14ac:dyDescent="0.3">
      <c r="A186">
        <v>185</v>
      </c>
      <c r="B186" s="1">
        <v>44244</v>
      </c>
      <c r="C186" t="s">
        <v>27</v>
      </c>
      <c r="D186" t="s">
        <v>17</v>
      </c>
      <c r="E186">
        <v>544756</v>
      </c>
      <c r="F186">
        <v>1361187</v>
      </c>
      <c r="G186">
        <v>291254</v>
      </c>
      <c r="H186">
        <v>10810</v>
      </c>
      <c r="I186">
        <v>216</v>
      </c>
      <c r="J186">
        <v>32</v>
      </c>
      <c r="K186">
        <v>31392</v>
      </c>
      <c r="L186">
        <f t="shared" si="15"/>
        <v>9101.6875</v>
      </c>
      <c r="M186">
        <f t="shared" si="12"/>
        <v>10.778221071641934</v>
      </c>
      <c r="N186">
        <f t="shared" si="13"/>
        <v>14.814814814814813</v>
      </c>
      <c r="O186">
        <f t="shared" si="14"/>
        <v>0.79415980317179058</v>
      </c>
    </row>
    <row r="187" spans="1:15" x14ac:dyDescent="0.3">
      <c r="A187">
        <v>186</v>
      </c>
      <c r="B187" s="1">
        <v>44244</v>
      </c>
      <c r="C187" t="s">
        <v>28</v>
      </c>
      <c r="D187" t="s">
        <v>23</v>
      </c>
      <c r="E187">
        <v>374754</v>
      </c>
      <c r="F187">
        <v>2795511</v>
      </c>
      <c r="G187">
        <v>462606</v>
      </c>
      <c r="H187">
        <v>26990</v>
      </c>
      <c r="I187">
        <v>795</v>
      </c>
      <c r="J187">
        <v>119</v>
      </c>
      <c r="K187">
        <v>592739</v>
      </c>
      <c r="L187">
        <f t="shared" si="15"/>
        <v>3887.4453781512607</v>
      </c>
      <c r="M187">
        <f t="shared" si="12"/>
        <v>128.13041767724587</v>
      </c>
      <c r="N187">
        <f t="shared" si="13"/>
        <v>14.968553459119496</v>
      </c>
      <c r="O187">
        <f t="shared" si="14"/>
        <v>0.96547643704496233</v>
      </c>
    </row>
    <row r="188" spans="1:15" x14ac:dyDescent="0.3">
      <c r="A188">
        <v>187</v>
      </c>
      <c r="B188" s="1">
        <v>44244</v>
      </c>
      <c r="C188" t="s">
        <v>29</v>
      </c>
      <c r="D188" t="s">
        <v>30</v>
      </c>
      <c r="E188">
        <v>39889</v>
      </c>
      <c r="F188">
        <v>16553044</v>
      </c>
      <c r="G188">
        <v>523398</v>
      </c>
      <c r="H188">
        <v>37805</v>
      </c>
      <c r="I188">
        <v>756</v>
      </c>
      <c r="J188">
        <v>142</v>
      </c>
      <c r="K188">
        <v>565302</v>
      </c>
      <c r="L188">
        <f t="shared" si="15"/>
        <v>3685.9014084507044</v>
      </c>
      <c r="M188">
        <f t="shared" si="12"/>
        <v>108.00614446367773</v>
      </c>
      <c r="N188">
        <f t="shared" si="13"/>
        <v>18.783068783068781</v>
      </c>
      <c r="O188">
        <f t="shared" si="14"/>
        <v>0.22838699637359752</v>
      </c>
    </row>
    <row r="189" spans="1:15" x14ac:dyDescent="0.3">
      <c r="A189">
        <v>188</v>
      </c>
      <c r="B189" s="1">
        <v>44245</v>
      </c>
      <c r="C189" t="s">
        <v>16</v>
      </c>
      <c r="D189" t="s">
        <v>17</v>
      </c>
      <c r="E189">
        <v>349043</v>
      </c>
      <c r="F189">
        <v>4798200</v>
      </c>
      <c r="G189">
        <v>30892.2</v>
      </c>
      <c r="H189">
        <v>23991</v>
      </c>
      <c r="I189">
        <v>61</v>
      </c>
      <c r="J189">
        <v>6</v>
      </c>
      <c r="K189">
        <v>25686</v>
      </c>
      <c r="L189">
        <f t="shared" si="15"/>
        <v>5148.7</v>
      </c>
      <c r="M189">
        <f t="shared" si="12"/>
        <v>83.14720220638219</v>
      </c>
      <c r="N189">
        <f t="shared" si="13"/>
        <v>9.8360655737704921</v>
      </c>
      <c r="O189">
        <f t="shared" si="14"/>
        <v>0.5</v>
      </c>
    </row>
    <row r="190" spans="1:15" x14ac:dyDescent="0.3">
      <c r="A190">
        <v>189</v>
      </c>
      <c r="B190" s="1">
        <v>44245</v>
      </c>
      <c r="C190" t="s">
        <v>18</v>
      </c>
      <c r="D190" t="s">
        <v>17</v>
      </c>
      <c r="E190">
        <v>348934</v>
      </c>
      <c r="F190">
        <v>4678356</v>
      </c>
      <c r="G190">
        <v>373294</v>
      </c>
      <c r="H190">
        <v>33003</v>
      </c>
      <c r="I190">
        <v>1313</v>
      </c>
      <c r="J190">
        <v>51</v>
      </c>
      <c r="K190">
        <v>237711</v>
      </c>
      <c r="L190">
        <f t="shared" si="15"/>
        <v>7319.4901960784309</v>
      </c>
      <c r="M190">
        <f t="shared" si="12"/>
        <v>63.679298354648083</v>
      </c>
      <c r="N190">
        <f t="shared" si="13"/>
        <v>3.884234577303884</v>
      </c>
      <c r="O190">
        <f t="shared" si="14"/>
        <v>0.70544011614336322</v>
      </c>
    </row>
    <row r="191" spans="1:15" x14ac:dyDescent="0.3">
      <c r="A191">
        <v>190</v>
      </c>
      <c r="B191" s="1">
        <v>44245</v>
      </c>
      <c r="C191" t="s">
        <v>19</v>
      </c>
      <c r="D191" t="s">
        <v>20</v>
      </c>
      <c r="E191">
        <v>89459845</v>
      </c>
      <c r="F191">
        <v>527210</v>
      </c>
      <c r="G191">
        <v>119542</v>
      </c>
      <c r="H191">
        <v>9004</v>
      </c>
      <c r="I191">
        <v>162</v>
      </c>
      <c r="J191">
        <v>28</v>
      </c>
      <c r="K191">
        <v>214368</v>
      </c>
      <c r="L191">
        <f t="shared" si="15"/>
        <v>4269.3571428571431</v>
      </c>
      <c r="M191">
        <f t="shared" si="12"/>
        <v>179.32442154221948</v>
      </c>
      <c r="N191">
        <f t="shared" si="13"/>
        <v>17.283950617283949</v>
      </c>
      <c r="O191">
        <f t="shared" si="14"/>
        <v>1.7078583486656171</v>
      </c>
    </row>
    <row r="192" spans="1:15" x14ac:dyDescent="0.3">
      <c r="A192">
        <v>191</v>
      </c>
      <c r="B192" s="1">
        <v>44245</v>
      </c>
      <c r="C192" t="s">
        <v>21</v>
      </c>
      <c r="D192" t="s">
        <v>20</v>
      </c>
      <c r="E192">
        <v>127823</v>
      </c>
      <c r="F192">
        <v>10593685</v>
      </c>
      <c r="G192">
        <v>200986</v>
      </c>
      <c r="H192">
        <v>24005</v>
      </c>
      <c r="I192">
        <v>480</v>
      </c>
      <c r="J192">
        <v>43</v>
      </c>
      <c r="K192">
        <v>93353</v>
      </c>
      <c r="L192">
        <f t="shared" si="15"/>
        <v>4674.0930232558139</v>
      </c>
      <c r="M192">
        <f t="shared" si="12"/>
        <v>46.44751375717712</v>
      </c>
      <c r="N192">
        <f t="shared" si="13"/>
        <v>8.9583333333333339</v>
      </c>
      <c r="O192">
        <f t="shared" si="14"/>
        <v>0.22659726053776374</v>
      </c>
    </row>
    <row r="193" spans="1:15" x14ac:dyDescent="0.3">
      <c r="A193">
        <v>192</v>
      </c>
      <c r="B193" s="1">
        <v>44245</v>
      </c>
      <c r="C193" t="s">
        <v>22</v>
      </c>
      <c r="D193" t="s">
        <v>23</v>
      </c>
      <c r="E193">
        <v>10934</v>
      </c>
      <c r="F193">
        <v>4064081</v>
      </c>
      <c r="G193">
        <v>86522.9</v>
      </c>
      <c r="H193">
        <v>45004</v>
      </c>
      <c r="I193">
        <v>144</v>
      </c>
      <c r="J193">
        <v>31</v>
      </c>
      <c r="K193">
        <v>256897</v>
      </c>
      <c r="L193">
        <f t="shared" si="15"/>
        <v>2791.0612903225806</v>
      </c>
      <c r="M193">
        <f t="shared" si="12"/>
        <v>296.91214695762625</v>
      </c>
      <c r="N193">
        <f t="shared" si="13"/>
        <v>21.527777777777779</v>
      </c>
      <c r="O193">
        <f t="shared" si="14"/>
        <v>1.1073598188618781</v>
      </c>
    </row>
    <row r="194" spans="1:15" x14ac:dyDescent="0.3">
      <c r="A194">
        <v>193</v>
      </c>
      <c r="B194" s="1">
        <v>44245</v>
      </c>
      <c r="C194" t="s">
        <v>24</v>
      </c>
      <c r="D194" t="s">
        <v>17</v>
      </c>
      <c r="E194">
        <v>9034945</v>
      </c>
      <c r="F194">
        <v>11212959</v>
      </c>
      <c r="G194">
        <v>241388</v>
      </c>
      <c r="H194">
        <v>27009</v>
      </c>
      <c r="I194">
        <v>599</v>
      </c>
      <c r="J194">
        <v>72</v>
      </c>
      <c r="K194">
        <v>430632</v>
      </c>
      <c r="L194">
        <f t="shared" si="15"/>
        <v>3352.6111111111113</v>
      </c>
      <c r="M194">
        <f t="shared" si="12"/>
        <v>178.39826337680415</v>
      </c>
      <c r="N194">
        <f t="shared" si="13"/>
        <v>12.020033388981636</v>
      </c>
      <c r="O194">
        <f t="shared" si="14"/>
        <v>0.24087308265374019</v>
      </c>
    </row>
    <row r="195" spans="1:15" x14ac:dyDescent="0.3">
      <c r="A195">
        <v>194</v>
      </c>
      <c r="B195" s="1">
        <v>44245</v>
      </c>
      <c r="C195" t="s">
        <v>25</v>
      </c>
      <c r="D195" t="s">
        <v>17</v>
      </c>
      <c r="E195">
        <v>983498</v>
      </c>
      <c r="F195">
        <v>13281923</v>
      </c>
      <c r="G195">
        <v>58596.4</v>
      </c>
      <c r="H195">
        <v>51000</v>
      </c>
      <c r="I195">
        <v>1020</v>
      </c>
      <c r="J195">
        <v>16</v>
      </c>
      <c r="K195">
        <v>36016</v>
      </c>
      <c r="L195">
        <f t="shared" si="15"/>
        <v>3662.2750000000001</v>
      </c>
      <c r="M195">
        <f t="shared" ref="M195:M258" si="16">(K195/G195)*100</f>
        <v>61.464526830999858</v>
      </c>
      <c r="N195">
        <f t="shared" ref="N195:N258" si="17">(J195/I195)*100</f>
        <v>1.5686274509803921</v>
      </c>
      <c r="O195">
        <f t="shared" ref="O195:O258" si="18">H195/F195*100</f>
        <v>0.38398054257655312</v>
      </c>
    </row>
    <row r="196" spans="1:15" x14ac:dyDescent="0.3">
      <c r="A196">
        <v>195</v>
      </c>
      <c r="B196" s="1">
        <v>44245</v>
      </c>
      <c r="C196" t="s">
        <v>26</v>
      </c>
      <c r="D196" t="s">
        <v>17</v>
      </c>
      <c r="E196">
        <v>4387490</v>
      </c>
      <c r="F196">
        <v>97885</v>
      </c>
      <c r="G196">
        <v>17176.7</v>
      </c>
      <c r="H196">
        <v>2991</v>
      </c>
      <c r="I196">
        <v>28</v>
      </c>
      <c r="J196">
        <v>6</v>
      </c>
      <c r="K196">
        <v>33930</v>
      </c>
      <c r="L196">
        <f t="shared" si="15"/>
        <v>2862.7833333333333</v>
      </c>
      <c r="M196">
        <f t="shared" si="16"/>
        <v>197.53503292250548</v>
      </c>
      <c r="N196">
        <f t="shared" si="17"/>
        <v>21.428571428571427</v>
      </c>
      <c r="O196">
        <f t="shared" si="18"/>
        <v>3.0556265004852636</v>
      </c>
    </row>
    <row r="197" spans="1:15" x14ac:dyDescent="0.3">
      <c r="A197">
        <v>196</v>
      </c>
      <c r="B197" s="1">
        <v>44245</v>
      </c>
      <c r="C197" t="s">
        <v>27</v>
      </c>
      <c r="D197" t="s">
        <v>17</v>
      </c>
      <c r="E197">
        <v>544756</v>
      </c>
      <c r="F197">
        <v>1181224</v>
      </c>
      <c r="G197">
        <v>171831</v>
      </c>
      <c r="H197">
        <v>11991</v>
      </c>
      <c r="I197">
        <v>128</v>
      </c>
      <c r="J197">
        <v>19</v>
      </c>
      <c r="K197">
        <v>17917</v>
      </c>
      <c r="L197">
        <f t="shared" si="15"/>
        <v>9043.7368421052633</v>
      </c>
      <c r="M197">
        <f t="shared" si="16"/>
        <v>10.427105702696254</v>
      </c>
      <c r="N197">
        <f t="shared" si="17"/>
        <v>14.84375</v>
      </c>
      <c r="O197">
        <f t="shared" si="18"/>
        <v>1.0151334547892694</v>
      </c>
    </row>
    <row r="198" spans="1:15" x14ac:dyDescent="0.3">
      <c r="A198">
        <v>197</v>
      </c>
      <c r="B198" s="1">
        <v>44245</v>
      </c>
      <c r="C198" t="s">
        <v>28</v>
      </c>
      <c r="D198" t="s">
        <v>23</v>
      </c>
      <c r="E198">
        <v>374754</v>
      </c>
      <c r="F198">
        <v>2482796</v>
      </c>
      <c r="G198">
        <v>518530</v>
      </c>
      <c r="H198">
        <v>30000</v>
      </c>
      <c r="I198">
        <v>1032</v>
      </c>
      <c r="J198">
        <v>134</v>
      </c>
      <c r="K198">
        <v>796630</v>
      </c>
      <c r="L198">
        <f t="shared" si="15"/>
        <v>3869.626865671642</v>
      </c>
      <c r="M198">
        <f t="shared" si="16"/>
        <v>153.6323838543575</v>
      </c>
      <c r="N198">
        <f t="shared" si="17"/>
        <v>12.984496124031008</v>
      </c>
      <c r="O198">
        <f t="shared" si="18"/>
        <v>1.2083151414775921</v>
      </c>
    </row>
    <row r="199" spans="1:15" x14ac:dyDescent="0.3">
      <c r="A199">
        <v>198</v>
      </c>
      <c r="B199" s="1">
        <v>44245</v>
      </c>
      <c r="C199" t="s">
        <v>29</v>
      </c>
      <c r="D199" t="s">
        <v>30</v>
      </c>
      <c r="E199">
        <v>39889</v>
      </c>
      <c r="F199">
        <v>419970000</v>
      </c>
      <c r="G199">
        <v>339735</v>
      </c>
      <c r="H199">
        <v>41997</v>
      </c>
      <c r="I199">
        <v>840</v>
      </c>
      <c r="J199">
        <v>114</v>
      </c>
      <c r="K199">
        <v>516420</v>
      </c>
      <c r="L199">
        <f t="shared" si="15"/>
        <v>2980.1315789473683</v>
      </c>
      <c r="M199">
        <f t="shared" si="16"/>
        <v>152.00671111307344</v>
      </c>
      <c r="N199">
        <f t="shared" si="17"/>
        <v>13.571428571428571</v>
      </c>
      <c r="O199">
        <f t="shared" si="18"/>
        <v>0.01</v>
      </c>
    </row>
    <row r="200" spans="1:15" x14ac:dyDescent="0.3">
      <c r="A200">
        <v>199</v>
      </c>
      <c r="B200" s="1">
        <v>44246</v>
      </c>
      <c r="C200" t="s">
        <v>16</v>
      </c>
      <c r="D200" t="s">
        <v>17</v>
      </c>
      <c r="E200">
        <v>349043</v>
      </c>
      <c r="F200">
        <v>15345139</v>
      </c>
      <c r="G200">
        <v>53253.9</v>
      </c>
      <c r="H200">
        <v>26407</v>
      </c>
      <c r="I200">
        <v>71</v>
      </c>
      <c r="J200">
        <v>10</v>
      </c>
      <c r="K200">
        <v>44550</v>
      </c>
      <c r="L200">
        <f t="shared" si="15"/>
        <v>5325.39</v>
      </c>
      <c r="M200">
        <f t="shared" si="16"/>
        <v>83.65584492403373</v>
      </c>
      <c r="N200">
        <f t="shared" si="17"/>
        <v>14.084507042253522</v>
      </c>
      <c r="O200">
        <f t="shared" si="18"/>
        <v>0.17208706939702534</v>
      </c>
    </row>
    <row r="201" spans="1:15" x14ac:dyDescent="0.3">
      <c r="A201">
        <v>200</v>
      </c>
      <c r="B201" s="1">
        <v>44246</v>
      </c>
      <c r="C201" t="s">
        <v>18</v>
      </c>
      <c r="D201" t="s">
        <v>17</v>
      </c>
      <c r="E201">
        <v>348934</v>
      </c>
      <c r="F201">
        <v>7260800</v>
      </c>
      <c r="G201">
        <v>415376</v>
      </c>
      <c r="H201">
        <v>36304</v>
      </c>
      <c r="I201">
        <v>726</v>
      </c>
      <c r="J201">
        <v>58</v>
      </c>
      <c r="K201">
        <v>288898</v>
      </c>
      <c r="L201">
        <f t="shared" si="15"/>
        <v>7161.6551724137935</v>
      </c>
      <c r="M201">
        <f t="shared" si="16"/>
        <v>69.550961056970067</v>
      </c>
      <c r="N201">
        <f t="shared" si="17"/>
        <v>7.9889807162534439</v>
      </c>
      <c r="O201">
        <f t="shared" si="18"/>
        <v>0.5</v>
      </c>
    </row>
    <row r="202" spans="1:15" x14ac:dyDescent="0.3">
      <c r="A202">
        <v>201</v>
      </c>
      <c r="B202" s="1">
        <v>44246</v>
      </c>
      <c r="C202" t="s">
        <v>19</v>
      </c>
      <c r="D202" t="s">
        <v>20</v>
      </c>
      <c r="E202">
        <v>89459845</v>
      </c>
      <c r="F202">
        <v>413291</v>
      </c>
      <c r="G202">
        <v>9777.5499999999993</v>
      </c>
      <c r="H202">
        <v>9904</v>
      </c>
      <c r="I202">
        <v>14</v>
      </c>
      <c r="J202">
        <v>2</v>
      </c>
      <c r="K202">
        <v>15962</v>
      </c>
      <c r="L202">
        <f t="shared" si="15"/>
        <v>4888.7749999999996</v>
      </c>
      <c r="M202">
        <f t="shared" si="16"/>
        <v>163.25153029133065</v>
      </c>
      <c r="N202">
        <f t="shared" si="17"/>
        <v>14.285714285714285</v>
      </c>
      <c r="O202">
        <f t="shared" si="18"/>
        <v>2.3963744673849661</v>
      </c>
    </row>
    <row r="203" spans="1:15" x14ac:dyDescent="0.3">
      <c r="A203">
        <v>202</v>
      </c>
      <c r="B203" s="1">
        <v>44246</v>
      </c>
      <c r="C203" t="s">
        <v>21</v>
      </c>
      <c r="D203" t="s">
        <v>20</v>
      </c>
      <c r="E203">
        <v>127823</v>
      </c>
      <c r="F203">
        <v>8455475</v>
      </c>
      <c r="G203">
        <v>81623.5</v>
      </c>
      <c r="H203">
        <v>26406</v>
      </c>
      <c r="I203">
        <v>281</v>
      </c>
      <c r="J203">
        <v>20</v>
      </c>
      <c r="K203">
        <v>72300</v>
      </c>
      <c r="L203">
        <f t="shared" si="15"/>
        <v>4081.1750000000002</v>
      </c>
      <c r="M203">
        <f t="shared" si="16"/>
        <v>88.577431744534351</v>
      </c>
      <c r="N203">
        <f t="shared" si="17"/>
        <v>7.1174377224199299</v>
      </c>
      <c r="O203">
        <f t="shared" si="18"/>
        <v>0.31229469663147252</v>
      </c>
    </row>
    <row r="204" spans="1:15" x14ac:dyDescent="0.3">
      <c r="A204">
        <v>203</v>
      </c>
      <c r="B204" s="1">
        <v>44246</v>
      </c>
      <c r="C204" t="s">
        <v>22</v>
      </c>
      <c r="D204" t="s">
        <v>23</v>
      </c>
      <c r="E204">
        <v>10934</v>
      </c>
      <c r="F204">
        <v>3801165</v>
      </c>
      <c r="G204">
        <v>880357</v>
      </c>
      <c r="H204">
        <v>49510</v>
      </c>
      <c r="I204">
        <v>1666</v>
      </c>
      <c r="J204">
        <v>369</v>
      </c>
      <c r="K204">
        <v>2812520</v>
      </c>
      <c r="L204">
        <f t="shared" si="15"/>
        <v>2385.791327913279</v>
      </c>
      <c r="M204">
        <f t="shared" si="16"/>
        <v>319.47494027990916</v>
      </c>
      <c r="N204">
        <f t="shared" si="17"/>
        <v>22.148859543817526</v>
      </c>
      <c r="O204">
        <f t="shared" si="18"/>
        <v>1.3024954191675446</v>
      </c>
    </row>
    <row r="205" spans="1:15" x14ac:dyDescent="0.3">
      <c r="A205">
        <v>204</v>
      </c>
      <c r="B205" s="1">
        <v>44246</v>
      </c>
      <c r="C205" t="s">
        <v>24</v>
      </c>
      <c r="D205" t="s">
        <v>17</v>
      </c>
      <c r="E205">
        <v>9034945</v>
      </c>
      <c r="F205">
        <v>6168252</v>
      </c>
      <c r="G205">
        <v>300775</v>
      </c>
      <c r="H205">
        <v>29699</v>
      </c>
      <c r="I205">
        <v>1082</v>
      </c>
      <c r="J205">
        <v>96</v>
      </c>
      <c r="K205">
        <v>574176</v>
      </c>
      <c r="L205">
        <f t="shared" si="15"/>
        <v>3133.0729166666665</v>
      </c>
      <c r="M205">
        <f t="shared" si="16"/>
        <v>190.89884465131743</v>
      </c>
      <c r="N205">
        <f t="shared" si="17"/>
        <v>8.8724584103512019</v>
      </c>
      <c r="O205">
        <f t="shared" si="18"/>
        <v>0.48148162558857843</v>
      </c>
    </row>
    <row r="206" spans="1:15" x14ac:dyDescent="0.3">
      <c r="A206">
        <v>205</v>
      </c>
      <c r="B206" s="1">
        <v>44246</v>
      </c>
      <c r="C206" t="s">
        <v>25</v>
      </c>
      <c r="D206" t="s">
        <v>17</v>
      </c>
      <c r="E206">
        <v>983498</v>
      </c>
      <c r="F206">
        <v>11222000</v>
      </c>
      <c r="G206">
        <v>9908.98</v>
      </c>
      <c r="H206">
        <v>56110</v>
      </c>
      <c r="I206">
        <v>185</v>
      </c>
      <c r="J206">
        <v>3</v>
      </c>
      <c r="K206">
        <v>3621</v>
      </c>
      <c r="L206">
        <f t="shared" si="15"/>
        <v>3302.9933333333333</v>
      </c>
      <c r="M206">
        <f t="shared" si="16"/>
        <v>36.542610843901194</v>
      </c>
      <c r="N206">
        <f t="shared" si="17"/>
        <v>1.6216216216216217</v>
      </c>
      <c r="O206">
        <f t="shared" si="18"/>
        <v>0.5</v>
      </c>
    </row>
    <row r="207" spans="1:15" x14ac:dyDescent="0.3">
      <c r="A207">
        <v>206</v>
      </c>
      <c r="B207" s="1">
        <v>44246</v>
      </c>
      <c r="C207" t="s">
        <v>26</v>
      </c>
      <c r="D207" t="s">
        <v>17</v>
      </c>
      <c r="E207">
        <v>4387490</v>
      </c>
      <c r="F207">
        <v>115166</v>
      </c>
      <c r="G207">
        <v>3173.41</v>
      </c>
      <c r="H207">
        <v>3297</v>
      </c>
      <c r="I207">
        <v>7</v>
      </c>
      <c r="J207">
        <v>1</v>
      </c>
      <c r="K207">
        <v>5199</v>
      </c>
      <c r="L207">
        <f t="shared" si="15"/>
        <v>3173.41</v>
      </c>
      <c r="M207">
        <f t="shared" si="16"/>
        <v>163.83007553388941</v>
      </c>
      <c r="N207">
        <f t="shared" si="17"/>
        <v>14.285714285714285</v>
      </c>
      <c r="O207">
        <f t="shared" si="18"/>
        <v>2.8628240973898547</v>
      </c>
    </row>
    <row r="208" spans="1:15" x14ac:dyDescent="0.3">
      <c r="A208">
        <v>207</v>
      </c>
      <c r="B208" s="1">
        <v>44246</v>
      </c>
      <c r="C208" t="s">
        <v>27</v>
      </c>
      <c r="D208" t="s">
        <v>17</v>
      </c>
      <c r="E208">
        <v>544756</v>
      </c>
      <c r="F208">
        <v>1320200</v>
      </c>
      <c r="G208">
        <v>440355</v>
      </c>
      <c r="H208">
        <v>13202</v>
      </c>
      <c r="I208">
        <v>264</v>
      </c>
      <c r="J208">
        <v>45</v>
      </c>
      <c r="K208">
        <v>80325</v>
      </c>
      <c r="L208">
        <f t="shared" ref="L208:L271" si="19">G208/J208</f>
        <v>9785.6666666666661</v>
      </c>
      <c r="M208">
        <f t="shared" si="16"/>
        <v>18.240964676227133</v>
      </c>
      <c r="N208">
        <f t="shared" si="17"/>
        <v>17.045454545454543</v>
      </c>
      <c r="O208">
        <f t="shared" si="18"/>
        <v>1</v>
      </c>
    </row>
    <row r="209" spans="1:18" x14ac:dyDescent="0.3">
      <c r="A209">
        <v>208</v>
      </c>
      <c r="B209" s="1">
        <v>44246</v>
      </c>
      <c r="C209" t="s">
        <v>28</v>
      </c>
      <c r="D209" t="s">
        <v>23</v>
      </c>
      <c r="E209">
        <v>374754</v>
      </c>
      <c r="F209">
        <v>3299900</v>
      </c>
      <c r="G209">
        <v>404285</v>
      </c>
      <c r="H209">
        <v>32999</v>
      </c>
      <c r="I209">
        <v>694</v>
      </c>
      <c r="J209">
        <v>104</v>
      </c>
      <c r="K209">
        <v>519272</v>
      </c>
      <c r="L209">
        <f t="shared" si="19"/>
        <v>3887.3557692307691</v>
      </c>
      <c r="M209">
        <f t="shared" si="16"/>
        <v>128.44206438527277</v>
      </c>
      <c r="N209">
        <f t="shared" si="17"/>
        <v>14.985590778097983</v>
      </c>
      <c r="O209">
        <f t="shared" si="18"/>
        <v>1</v>
      </c>
    </row>
    <row r="210" spans="1:18" x14ac:dyDescent="0.3">
      <c r="A210">
        <v>209</v>
      </c>
      <c r="B210" s="1">
        <v>44246</v>
      </c>
      <c r="C210" t="s">
        <v>29</v>
      </c>
      <c r="D210" t="s">
        <v>30</v>
      </c>
      <c r="E210">
        <v>39889</v>
      </c>
      <c r="F210">
        <v>19065489</v>
      </c>
      <c r="G210">
        <v>492126</v>
      </c>
      <c r="H210">
        <v>46209</v>
      </c>
      <c r="I210">
        <v>924</v>
      </c>
      <c r="J210">
        <v>139</v>
      </c>
      <c r="K210">
        <v>556417</v>
      </c>
      <c r="L210">
        <f t="shared" si="19"/>
        <v>3540.4748201438847</v>
      </c>
      <c r="M210">
        <f t="shared" si="16"/>
        <v>113.06393078195423</v>
      </c>
      <c r="N210">
        <f t="shared" si="17"/>
        <v>15.043290043290044</v>
      </c>
      <c r="O210">
        <f t="shared" si="18"/>
        <v>0.24236986525758664</v>
      </c>
      <c r="R210">
        <f>MAX(K2:K308)</f>
        <v>2812520</v>
      </c>
    </row>
    <row r="211" spans="1:18" x14ac:dyDescent="0.3">
      <c r="A211">
        <v>210</v>
      </c>
      <c r="B211" s="1">
        <v>44247</v>
      </c>
      <c r="C211" t="s">
        <v>16</v>
      </c>
      <c r="D211" t="s">
        <v>17</v>
      </c>
      <c r="E211">
        <v>349043</v>
      </c>
      <c r="F211">
        <v>9916906</v>
      </c>
      <c r="G211">
        <v>56874.2</v>
      </c>
      <c r="H211">
        <v>28796</v>
      </c>
      <c r="I211">
        <v>88</v>
      </c>
      <c r="J211">
        <v>12</v>
      </c>
      <c r="K211">
        <v>59772</v>
      </c>
      <c r="L211">
        <f t="shared" si="19"/>
        <v>4739.5166666666664</v>
      </c>
      <c r="M211">
        <f t="shared" si="16"/>
        <v>105.09510463443883</v>
      </c>
      <c r="N211">
        <f t="shared" si="17"/>
        <v>13.636363636363635</v>
      </c>
      <c r="O211">
        <f t="shared" si="18"/>
        <v>0.29037282394327424</v>
      </c>
    </row>
    <row r="212" spans="1:18" x14ac:dyDescent="0.3">
      <c r="A212">
        <v>211</v>
      </c>
      <c r="B212" s="1">
        <v>44247</v>
      </c>
      <c r="C212" t="s">
        <v>18</v>
      </c>
      <c r="D212" t="s">
        <v>17</v>
      </c>
      <c r="E212">
        <v>348934</v>
      </c>
      <c r="F212">
        <v>7918600</v>
      </c>
      <c r="G212">
        <v>455831</v>
      </c>
      <c r="H212">
        <v>39593</v>
      </c>
      <c r="I212">
        <v>853</v>
      </c>
      <c r="J212">
        <v>68</v>
      </c>
      <c r="K212">
        <v>387124</v>
      </c>
      <c r="L212">
        <f t="shared" si="19"/>
        <v>6703.3970588235297</v>
      </c>
      <c r="M212">
        <f t="shared" si="16"/>
        <v>84.927089206306732</v>
      </c>
      <c r="N212">
        <f t="shared" si="17"/>
        <v>7.9718640093786641</v>
      </c>
      <c r="O212">
        <f t="shared" si="18"/>
        <v>0.5</v>
      </c>
    </row>
    <row r="213" spans="1:18" x14ac:dyDescent="0.3">
      <c r="A213">
        <v>212</v>
      </c>
      <c r="B213" s="1">
        <v>44247</v>
      </c>
      <c r="C213" t="s">
        <v>19</v>
      </c>
      <c r="D213" t="s">
        <v>20</v>
      </c>
      <c r="E213">
        <v>89459845</v>
      </c>
      <c r="F213">
        <v>540450</v>
      </c>
      <c r="G213">
        <v>190469</v>
      </c>
      <c r="H213">
        <v>10809</v>
      </c>
      <c r="I213">
        <v>359</v>
      </c>
      <c r="J213">
        <v>47</v>
      </c>
      <c r="K213">
        <v>365378</v>
      </c>
      <c r="L213">
        <f t="shared" si="19"/>
        <v>4052.5319148936169</v>
      </c>
      <c r="M213">
        <f t="shared" si="16"/>
        <v>191.83069160860822</v>
      </c>
      <c r="N213">
        <f t="shared" si="17"/>
        <v>13.09192200557103</v>
      </c>
      <c r="O213">
        <f t="shared" si="18"/>
        <v>2</v>
      </c>
    </row>
    <row r="214" spans="1:18" x14ac:dyDescent="0.3">
      <c r="A214">
        <v>213</v>
      </c>
      <c r="B214" s="1">
        <v>44247</v>
      </c>
      <c r="C214" t="s">
        <v>21</v>
      </c>
      <c r="D214" t="s">
        <v>20</v>
      </c>
      <c r="E214">
        <v>127823</v>
      </c>
      <c r="F214">
        <v>5762000</v>
      </c>
      <c r="G214">
        <v>435770</v>
      </c>
      <c r="H214">
        <v>28810</v>
      </c>
      <c r="I214">
        <v>732</v>
      </c>
      <c r="J214">
        <v>96</v>
      </c>
      <c r="K214">
        <v>253440</v>
      </c>
      <c r="L214">
        <f t="shared" si="19"/>
        <v>4539.270833333333</v>
      </c>
      <c r="M214">
        <f t="shared" si="16"/>
        <v>58.159120637033304</v>
      </c>
      <c r="N214">
        <f t="shared" si="17"/>
        <v>13.114754098360656</v>
      </c>
      <c r="O214">
        <f t="shared" si="18"/>
        <v>0.5</v>
      </c>
    </row>
    <row r="215" spans="1:18" x14ac:dyDescent="0.3">
      <c r="A215">
        <v>214</v>
      </c>
      <c r="B215" s="1">
        <v>44247</v>
      </c>
      <c r="C215" t="s">
        <v>22</v>
      </c>
      <c r="D215" t="s">
        <v>23</v>
      </c>
      <c r="E215">
        <v>10934</v>
      </c>
      <c r="F215">
        <v>5399300</v>
      </c>
      <c r="G215">
        <v>303860</v>
      </c>
      <c r="H215">
        <v>53993</v>
      </c>
      <c r="I215">
        <v>1094</v>
      </c>
      <c r="J215">
        <v>182</v>
      </c>
      <c r="K215">
        <v>1452540</v>
      </c>
      <c r="L215">
        <f t="shared" si="19"/>
        <v>1669.5604395604396</v>
      </c>
      <c r="M215">
        <f t="shared" si="16"/>
        <v>478.02935562430065</v>
      </c>
      <c r="N215">
        <f t="shared" si="17"/>
        <v>16.636197440585011</v>
      </c>
      <c r="O215">
        <f t="shared" si="18"/>
        <v>1</v>
      </c>
    </row>
    <row r="216" spans="1:18" x14ac:dyDescent="0.3">
      <c r="A216">
        <v>215</v>
      </c>
      <c r="B216" s="1">
        <v>44247</v>
      </c>
      <c r="C216" t="s">
        <v>24</v>
      </c>
      <c r="D216" t="s">
        <v>17</v>
      </c>
      <c r="E216">
        <v>9034945</v>
      </c>
      <c r="F216">
        <v>7669421</v>
      </c>
      <c r="G216">
        <v>404737</v>
      </c>
      <c r="H216">
        <v>32395</v>
      </c>
      <c r="I216">
        <v>1003</v>
      </c>
      <c r="J216">
        <v>139</v>
      </c>
      <c r="K216">
        <v>847066</v>
      </c>
      <c r="L216">
        <f t="shared" si="19"/>
        <v>2911.776978417266</v>
      </c>
      <c r="M216">
        <f t="shared" si="16"/>
        <v>209.28800677971128</v>
      </c>
      <c r="N216">
        <f t="shared" si="17"/>
        <v>13.858424725822532</v>
      </c>
      <c r="O216">
        <f t="shared" si="18"/>
        <v>0.42239172944085346</v>
      </c>
    </row>
    <row r="217" spans="1:18" x14ac:dyDescent="0.3">
      <c r="A217">
        <v>216</v>
      </c>
      <c r="B217" s="1">
        <v>44247</v>
      </c>
      <c r="C217" t="s">
        <v>25</v>
      </c>
      <c r="D217" t="s">
        <v>17</v>
      </c>
      <c r="E217">
        <v>983498</v>
      </c>
      <c r="F217">
        <v>12239000</v>
      </c>
      <c r="G217">
        <v>150065</v>
      </c>
      <c r="H217">
        <v>61195</v>
      </c>
      <c r="I217">
        <v>1224</v>
      </c>
      <c r="J217">
        <v>48</v>
      </c>
      <c r="K217">
        <v>73392</v>
      </c>
      <c r="L217">
        <f t="shared" si="19"/>
        <v>3126.3541666666665</v>
      </c>
      <c r="M217">
        <f t="shared" si="16"/>
        <v>48.906807050278211</v>
      </c>
      <c r="N217">
        <f t="shared" si="17"/>
        <v>3.9215686274509802</v>
      </c>
      <c r="O217">
        <f t="shared" si="18"/>
        <v>0.5</v>
      </c>
    </row>
    <row r="218" spans="1:18" x14ac:dyDescent="0.3">
      <c r="A218">
        <v>217</v>
      </c>
      <c r="B218" s="1">
        <v>44247</v>
      </c>
      <c r="C218" t="s">
        <v>26</v>
      </c>
      <c r="D218" t="s">
        <v>17</v>
      </c>
      <c r="E218">
        <v>4387490</v>
      </c>
      <c r="F218">
        <v>111784</v>
      </c>
      <c r="G218">
        <v>73587.5</v>
      </c>
      <c r="H218">
        <v>3594</v>
      </c>
      <c r="I218">
        <v>116</v>
      </c>
      <c r="J218">
        <v>24</v>
      </c>
      <c r="K218">
        <v>119544</v>
      </c>
      <c r="L218">
        <f t="shared" si="19"/>
        <v>3066.1458333333335</v>
      </c>
      <c r="M218">
        <f t="shared" si="16"/>
        <v>162.45150331238324</v>
      </c>
      <c r="N218">
        <f t="shared" si="17"/>
        <v>20.689655172413794</v>
      </c>
      <c r="O218">
        <f t="shared" si="18"/>
        <v>3.2151291776998501</v>
      </c>
    </row>
    <row r="219" spans="1:18" x14ac:dyDescent="0.3">
      <c r="A219">
        <v>218</v>
      </c>
      <c r="B219" s="1">
        <v>44247</v>
      </c>
      <c r="C219" t="s">
        <v>27</v>
      </c>
      <c r="D219" t="s">
        <v>17</v>
      </c>
      <c r="E219">
        <v>544756</v>
      </c>
      <c r="F219">
        <v>1118531</v>
      </c>
      <c r="G219">
        <v>173041</v>
      </c>
      <c r="H219">
        <v>14399</v>
      </c>
      <c r="I219">
        <v>113</v>
      </c>
      <c r="J219">
        <v>18</v>
      </c>
      <c r="K219">
        <v>17658</v>
      </c>
      <c r="L219">
        <f t="shared" si="19"/>
        <v>9613.3888888888887</v>
      </c>
      <c r="M219">
        <f t="shared" si="16"/>
        <v>10.20451800440358</v>
      </c>
      <c r="N219">
        <f t="shared" si="17"/>
        <v>15.929203539823009</v>
      </c>
      <c r="O219">
        <f t="shared" si="18"/>
        <v>1.2873134495154805</v>
      </c>
    </row>
    <row r="220" spans="1:18" x14ac:dyDescent="0.3">
      <c r="A220">
        <v>219</v>
      </c>
      <c r="B220" s="1">
        <v>44247</v>
      </c>
      <c r="C220" t="s">
        <v>28</v>
      </c>
      <c r="D220" t="s">
        <v>23</v>
      </c>
      <c r="E220">
        <v>374754</v>
      </c>
      <c r="F220">
        <v>5497354</v>
      </c>
      <c r="G220">
        <v>504576</v>
      </c>
      <c r="H220">
        <v>35994</v>
      </c>
      <c r="I220">
        <v>822</v>
      </c>
      <c r="J220">
        <v>137</v>
      </c>
      <c r="K220">
        <v>682397</v>
      </c>
      <c r="L220">
        <f t="shared" si="19"/>
        <v>3683.0364963503648</v>
      </c>
      <c r="M220">
        <f t="shared" si="16"/>
        <v>135.24166825215627</v>
      </c>
      <c r="N220">
        <f t="shared" si="17"/>
        <v>16.666666666666664</v>
      </c>
      <c r="O220">
        <f t="shared" si="18"/>
        <v>0.65475135856268307</v>
      </c>
    </row>
    <row r="221" spans="1:18" x14ac:dyDescent="0.3">
      <c r="A221">
        <v>220</v>
      </c>
      <c r="B221" s="1">
        <v>44247</v>
      </c>
      <c r="C221" t="s">
        <v>29</v>
      </c>
      <c r="D221" t="s">
        <v>30</v>
      </c>
      <c r="E221">
        <v>39889</v>
      </c>
      <c r="F221">
        <v>26012342</v>
      </c>
      <c r="G221">
        <v>750361</v>
      </c>
      <c r="H221">
        <v>50408</v>
      </c>
      <c r="I221">
        <v>1678</v>
      </c>
      <c r="J221">
        <v>252</v>
      </c>
      <c r="K221">
        <v>1003210</v>
      </c>
      <c r="L221">
        <f t="shared" si="19"/>
        <v>2977.6230158730159</v>
      </c>
      <c r="M221">
        <f t="shared" si="16"/>
        <v>133.69698052004301</v>
      </c>
      <c r="N221">
        <f t="shared" si="17"/>
        <v>15.01787842669845</v>
      </c>
      <c r="O221">
        <f t="shared" si="18"/>
        <v>0.19378493485899886</v>
      </c>
    </row>
    <row r="222" spans="1:18" x14ac:dyDescent="0.3">
      <c r="A222">
        <v>221</v>
      </c>
      <c r="B222" s="1">
        <v>44248</v>
      </c>
      <c r="C222" t="s">
        <v>16</v>
      </c>
      <c r="D222" t="s">
        <v>17</v>
      </c>
      <c r="E222">
        <v>349043</v>
      </c>
      <c r="F222">
        <v>478600</v>
      </c>
      <c r="G222">
        <v>38596.699999999997</v>
      </c>
      <c r="H222">
        <v>2393</v>
      </c>
      <c r="I222">
        <v>66</v>
      </c>
      <c r="J222">
        <v>7</v>
      </c>
      <c r="K222">
        <v>31094</v>
      </c>
      <c r="L222">
        <f t="shared" si="19"/>
        <v>5513.8142857142857</v>
      </c>
      <c r="M222">
        <f t="shared" si="16"/>
        <v>80.561291509377753</v>
      </c>
      <c r="N222">
        <f t="shared" si="17"/>
        <v>10.606060606060606</v>
      </c>
      <c r="O222">
        <f t="shared" si="18"/>
        <v>0.5</v>
      </c>
    </row>
    <row r="223" spans="1:18" x14ac:dyDescent="0.3">
      <c r="A223">
        <v>222</v>
      </c>
      <c r="B223" s="1">
        <v>44248</v>
      </c>
      <c r="C223" t="s">
        <v>18</v>
      </c>
      <c r="D223" t="s">
        <v>17</v>
      </c>
      <c r="E223">
        <v>348934</v>
      </c>
      <c r="F223">
        <v>543787</v>
      </c>
      <c r="G223">
        <v>39481</v>
      </c>
      <c r="H223">
        <v>3299</v>
      </c>
      <c r="I223">
        <v>113</v>
      </c>
      <c r="J223">
        <v>6</v>
      </c>
      <c r="K223">
        <v>29538</v>
      </c>
      <c r="L223">
        <f t="shared" si="19"/>
        <v>6580.166666666667</v>
      </c>
      <c r="M223">
        <f t="shared" si="16"/>
        <v>74.815734150604086</v>
      </c>
      <c r="N223">
        <f t="shared" si="17"/>
        <v>5.3097345132743365</v>
      </c>
      <c r="O223">
        <f t="shared" si="18"/>
        <v>0.60667136213259976</v>
      </c>
    </row>
    <row r="224" spans="1:18" x14ac:dyDescent="0.3">
      <c r="A224">
        <v>223</v>
      </c>
      <c r="B224" s="1">
        <v>44248</v>
      </c>
      <c r="C224" t="s">
        <v>19</v>
      </c>
      <c r="D224" t="s">
        <v>20</v>
      </c>
      <c r="E224">
        <v>89459845</v>
      </c>
      <c r="F224">
        <v>49655</v>
      </c>
      <c r="G224">
        <v>9444.1200000000008</v>
      </c>
      <c r="H224">
        <v>907</v>
      </c>
      <c r="I224">
        <v>18</v>
      </c>
      <c r="J224">
        <v>2</v>
      </c>
      <c r="K224">
        <v>15962</v>
      </c>
      <c r="L224">
        <f t="shared" si="19"/>
        <v>4722.0600000000004</v>
      </c>
      <c r="M224">
        <f t="shared" si="16"/>
        <v>169.01521793454549</v>
      </c>
      <c r="N224">
        <f t="shared" si="17"/>
        <v>11.111111111111111</v>
      </c>
      <c r="O224">
        <f t="shared" si="18"/>
        <v>1.8266035645957104</v>
      </c>
    </row>
    <row r="225" spans="1:15" x14ac:dyDescent="0.3">
      <c r="A225">
        <v>224</v>
      </c>
      <c r="B225" s="1">
        <v>44248</v>
      </c>
      <c r="C225" t="s">
        <v>21</v>
      </c>
      <c r="D225" t="s">
        <v>20</v>
      </c>
      <c r="E225">
        <v>127823</v>
      </c>
      <c r="F225">
        <v>478400</v>
      </c>
      <c r="G225">
        <v>17476.2</v>
      </c>
      <c r="H225">
        <v>2392</v>
      </c>
      <c r="I225">
        <v>48</v>
      </c>
      <c r="J225">
        <v>5</v>
      </c>
      <c r="K225">
        <v>12910</v>
      </c>
      <c r="L225">
        <f t="shared" si="19"/>
        <v>3495.2400000000002</v>
      </c>
      <c r="M225">
        <f t="shared" si="16"/>
        <v>73.871894347741502</v>
      </c>
      <c r="N225">
        <f t="shared" si="17"/>
        <v>10.416666666666668</v>
      </c>
      <c r="O225">
        <f t="shared" si="18"/>
        <v>0.5</v>
      </c>
    </row>
    <row r="226" spans="1:15" x14ac:dyDescent="0.3">
      <c r="A226">
        <v>225</v>
      </c>
      <c r="B226" s="1">
        <v>44248</v>
      </c>
      <c r="C226" t="s">
        <v>22</v>
      </c>
      <c r="D226" t="s">
        <v>23</v>
      </c>
      <c r="E226">
        <v>10934</v>
      </c>
      <c r="F226">
        <v>713896</v>
      </c>
      <c r="G226">
        <v>30801</v>
      </c>
      <c r="H226">
        <v>4507</v>
      </c>
      <c r="I226">
        <v>90</v>
      </c>
      <c r="J226">
        <v>20</v>
      </c>
      <c r="K226">
        <v>159620</v>
      </c>
      <c r="L226">
        <f t="shared" si="19"/>
        <v>1540.05</v>
      </c>
      <c r="M226">
        <f t="shared" si="16"/>
        <v>518.2299275997533</v>
      </c>
      <c r="N226">
        <f t="shared" si="17"/>
        <v>22.222222222222221</v>
      </c>
      <c r="O226">
        <f t="shared" si="18"/>
        <v>0.63132445062025844</v>
      </c>
    </row>
    <row r="227" spans="1:15" x14ac:dyDescent="0.3">
      <c r="A227">
        <v>226</v>
      </c>
      <c r="B227" s="1">
        <v>44248</v>
      </c>
      <c r="C227" t="s">
        <v>24</v>
      </c>
      <c r="D227" t="s">
        <v>17</v>
      </c>
      <c r="E227">
        <v>9034945</v>
      </c>
      <c r="F227">
        <v>555915</v>
      </c>
      <c r="G227">
        <v>29457.5</v>
      </c>
      <c r="H227">
        <v>2709</v>
      </c>
      <c r="I227">
        <v>60</v>
      </c>
      <c r="J227">
        <v>10</v>
      </c>
      <c r="K227">
        <v>55540</v>
      </c>
      <c r="L227">
        <f t="shared" si="19"/>
        <v>2945.75</v>
      </c>
      <c r="M227">
        <f t="shared" si="16"/>
        <v>188.54281592124246</v>
      </c>
      <c r="N227">
        <f t="shared" si="17"/>
        <v>16.666666666666664</v>
      </c>
      <c r="O227">
        <f t="shared" si="18"/>
        <v>0.48730471385013896</v>
      </c>
    </row>
    <row r="228" spans="1:15" x14ac:dyDescent="0.3">
      <c r="A228">
        <v>227</v>
      </c>
      <c r="B228" s="1">
        <v>44248</v>
      </c>
      <c r="C228" t="s">
        <v>25</v>
      </c>
      <c r="D228" t="s">
        <v>17</v>
      </c>
      <c r="E228">
        <v>983498</v>
      </c>
      <c r="F228">
        <v>781353</v>
      </c>
      <c r="G228">
        <v>12503.5</v>
      </c>
      <c r="H228">
        <v>5104</v>
      </c>
      <c r="I228">
        <v>102</v>
      </c>
      <c r="J228">
        <v>4</v>
      </c>
      <c r="K228">
        <v>7924</v>
      </c>
      <c r="L228">
        <f t="shared" si="19"/>
        <v>3125.875</v>
      </c>
      <c r="M228">
        <f t="shared" si="16"/>
        <v>63.374255208541605</v>
      </c>
      <c r="N228">
        <f t="shared" si="17"/>
        <v>3.9215686274509802</v>
      </c>
      <c r="O228">
        <f t="shared" si="18"/>
        <v>0.65322587870015225</v>
      </c>
    </row>
    <row r="229" spans="1:15" x14ac:dyDescent="0.3">
      <c r="A229">
        <v>228</v>
      </c>
      <c r="B229" s="1">
        <v>44248</v>
      </c>
      <c r="C229" t="s">
        <v>26</v>
      </c>
      <c r="D229" t="s">
        <v>17</v>
      </c>
      <c r="E229">
        <v>4387490</v>
      </c>
      <c r="F229">
        <v>10812</v>
      </c>
      <c r="G229">
        <v>1555.96</v>
      </c>
      <c r="H229">
        <v>296</v>
      </c>
      <c r="I229">
        <v>3</v>
      </c>
      <c r="J229">
        <v>1</v>
      </c>
      <c r="K229">
        <v>3993</v>
      </c>
      <c r="L229">
        <f t="shared" si="19"/>
        <v>1555.96</v>
      </c>
      <c r="M229">
        <f t="shared" si="16"/>
        <v>256.62613434792667</v>
      </c>
      <c r="N229">
        <f t="shared" si="17"/>
        <v>33.333333333333329</v>
      </c>
      <c r="O229">
        <f t="shared" si="18"/>
        <v>2.7376988531261559</v>
      </c>
    </row>
    <row r="230" spans="1:15" x14ac:dyDescent="0.3">
      <c r="A230">
        <v>229</v>
      </c>
      <c r="B230" s="1">
        <v>44248</v>
      </c>
      <c r="C230" t="s">
        <v>27</v>
      </c>
      <c r="D230" t="s">
        <v>17</v>
      </c>
      <c r="E230">
        <v>544756</v>
      </c>
      <c r="F230">
        <v>119400</v>
      </c>
      <c r="G230">
        <v>32169.9</v>
      </c>
      <c r="H230">
        <v>1194</v>
      </c>
      <c r="I230">
        <v>24</v>
      </c>
      <c r="J230">
        <v>4</v>
      </c>
      <c r="K230">
        <v>3924</v>
      </c>
      <c r="L230">
        <f t="shared" si="19"/>
        <v>8042.4750000000004</v>
      </c>
      <c r="M230">
        <f t="shared" si="16"/>
        <v>12.19773763673496</v>
      </c>
      <c r="N230">
        <f t="shared" si="17"/>
        <v>16.666666666666664</v>
      </c>
      <c r="O230">
        <f t="shared" si="18"/>
        <v>1</v>
      </c>
    </row>
    <row r="231" spans="1:15" x14ac:dyDescent="0.3">
      <c r="A231">
        <v>230</v>
      </c>
      <c r="B231" s="1">
        <v>44248</v>
      </c>
      <c r="C231" t="s">
        <v>28</v>
      </c>
      <c r="D231" t="s">
        <v>23</v>
      </c>
      <c r="E231">
        <v>374754</v>
      </c>
      <c r="F231">
        <v>300900</v>
      </c>
      <c r="G231">
        <v>65006.3</v>
      </c>
      <c r="H231">
        <v>3009</v>
      </c>
      <c r="I231">
        <v>89</v>
      </c>
      <c r="J231">
        <v>17</v>
      </c>
      <c r="K231">
        <v>84677</v>
      </c>
      <c r="L231">
        <f t="shared" si="19"/>
        <v>3823.9</v>
      </c>
      <c r="M231">
        <f t="shared" si="16"/>
        <v>130.25968252307854</v>
      </c>
      <c r="N231">
        <f t="shared" si="17"/>
        <v>19.101123595505616</v>
      </c>
      <c r="O231">
        <f t="shared" si="18"/>
        <v>1</v>
      </c>
    </row>
    <row r="232" spans="1:15" x14ac:dyDescent="0.3">
      <c r="A232">
        <v>231</v>
      </c>
      <c r="B232" s="1">
        <v>44248</v>
      </c>
      <c r="C232" t="s">
        <v>29</v>
      </c>
      <c r="D232" t="s">
        <v>30</v>
      </c>
      <c r="E232">
        <v>39889</v>
      </c>
      <c r="F232">
        <v>42080000</v>
      </c>
      <c r="G232">
        <v>25023.200000000001</v>
      </c>
      <c r="H232">
        <v>4208</v>
      </c>
      <c r="I232">
        <v>67</v>
      </c>
      <c r="J232">
        <v>10</v>
      </c>
      <c r="K232">
        <v>31710</v>
      </c>
      <c r="L232">
        <f t="shared" si="19"/>
        <v>2502.3200000000002</v>
      </c>
      <c r="M232">
        <f t="shared" si="16"/>
        <v>126.7224016113047</v>
      </c>
      <c r="N232">
        <f t="shared" si="17"/>
        <v>14.925373134328357</v>
      </c>
      <c r="O232">
        <f t="shared" si="18"/>
        <v>0.01</v>
      </c>
    </row>
    <row r="233" spans="1:15" x14ac:dyDescent="0.3">
      <c r="A233">
        <v>232</v>
      </c>
      <c r="B233" s="1">
        <v>44249</v>
      </c>
      <c r="C233" t="s">
        <v>16</v>
      </c>
      <c r="D233" t="s">
        <v>17</v>
      </c>
      <c r="E233">
        <v>349043</v>
      </c>
      <c r="F233">
        <v>605386</v>
      </c>
      <c r="G233">
        <v>59710</v>
      </c>
      <c r="H233">
        <v>4802</v>
      </c>
      <c r="I233">
        <v>96</v>
      </c>
      <c r="J233">
        <v>12</v>
      </c>
      <c r="K233">
        <v>67632</v>
      </c>
      <c r="L233">
        <f t="shared" si="19"/>
        <v>4975.833333333333</v>
      </c>
      <c r="M233">
        <f t="shared" si="16"/>
        <v>113.26745938703735</v>
      </c>
      <c r="N233">
        <f t="shared" si="17"/>
        <v>12.5</v>
      </c>
      <c r="O233">
        <f t="shared" si="18"/>
        <v>0.79321292530715948</v>
      </c>
    </row>
    <row r="234" spans="1:15" x14ac:dyDescent="0.3">
      <c r="A234">
        <v>233</v>
      </c>
      <c r="B234" s="1">
        <v>44249</v>
      </c>
      <c r="C234" t="s">
        <v>18</v>
      </c>
      <c r="D234" t="s">
        <v>17</v>
      </c>
      <c r="E234">
        <v>348934</v>
      </c>
      <c r="F234">
        <v>2090371</v>
      </c>
      <c r="G234">
        <v>95536.2</v>
      </c>
      <c r="H234">
        <v>6606</v>
      </c>
      <c r="I234">
        <v>132</v>
      </c>
      <c r="J234">
        <v>14</v>
      </c>
      <c r="K234">
        <v>69734</v>
      </c>
      <c r="L234">
        <f t="shared" si="19"/>
        <v>6824.0142857142855</v>
      </c>
      <c r="M234">
        <f t="shared" si="16"/>
        <v>72.992227030172856</v>
      </c>
      <c r="N234">
        <f t="shared" si="17"/>
        <v>10.606060606060606</v>
      </c>
      <c r="O234">
        <f t="shared" si="18"/>
        <v>0.31602045761254821</v>
      </c>
    </row>
    <row r="235" spans="1:15" x14ac:dyDescent="0.3">
      <c r="A235">
        <v>234</v>
      </c>
      <c r="B235" s="1">
        <v>44249</v>
      </c>
      <c r="C235" t="s">
        <v>19</v>
      </c>
      <c r="D235" t="s">
        <v>20</v>
      </c>
      <c r="E235">
        <v>89459845</v>
      </c>
      <c r="F235">
        <v>90500</v>
      </c>
      <c r="G235">
        <v>30645.4</v>
      </c>
      <c r="H235">
        <v>1810</v>
      </c>
      <c r="I235">
        <v>65</v>
      </c>
      <c r="J235">
        <v>7</v>
      </c>
      <c r="K235">
        <v>59045</v>
      </c>
      <c r="L235">
        <f t="shared" si="19"/>
        <v>4377.9142857142861</v>
      </c>
      <c r="M235">
        <f t="shared" si="16"/>
        <v>192.67165708393429</v>
      </c>
      <c r="N235">
        <f t="shared" si="17"/>
        <v>10.76923076923077</v>
      </c>
      <c r="O235">
        <f t="shared" si="18"/>
        <v>2</v>
      </c>
    </row>
    <row r="236" spans="1:15" x14ac:dyDescent="0.3">
      <c r="A236">
        <v>235</v>
      </c>
      <c r="B236" s="1">
        <v>44249</v>
      </c>
      <c r="C236" t="s">
        <v>21</v>
      </c>
      <c r="D236" t="s">
        <v>20</v>
      </c>
      <c r="E236">
        <v>127823</v>
      </c>
      <c r="F236">
        <v>959600</v>
      </c>
      <c r="G236">
        <v>12348.3</v>
      </c>
      <c r="H236">
        <v>4798</v>
      </c>
      <c r="I236">
        <v>39</v>
      </c>
      <c r="J236">
        <v>4</v>
      </c>
      <c r="K236">
        <v>11924</v>
      </c>
      <c r="L236">
        <f t="shared" si="19"/>
        <v>3087.0749999999998</v>
      </c>
      <c r="M236">
        <f t="shared" si="16"/>
        <v>96.563899484139526</v>
      </c>
      <c r="N236">
        <f t="shared" si="17"/>
        <v>10.256410256410255</v>
      </c>
      <c r="O236">
        <f t="shared" si="18"/>
        <v>0.5</v>
      </c>
    </row>
    <row r="237" spans="1:15" x14ac:dyDescent="0.3">
      <c r="A237">
        <v>236</v>
      </c>
      <c r="B237" s="1">
        <v>44249</v>
      </c>
      <c r="C237" t="s">
        <v>22</v>
      </c>
      <c r="D237" t="s">
        <v>23</v>
      </c>
      <c r="E237">
        <v>10934</v>
      </c>
      <c r="F237">
        <v>757387</v>
      </c>
      <c r="G237">
        <v>77803.8</v>
      </c>
      <c r="H237">
        <v>8997</v>
      </c>
      <c r="I237">
        <v>180</v>
      </c>
      <c r="J237">
        <v>42</v>
      </c>
      <c r="K237">
        <v>359394</v>
      </c>
      <c r="L237">
        <f t="shared" si="19"/>
        <v>1852.4714285714285</v>
      </c>
      <c r="M237">
        <f t="shared" si="16"/>
        <v>461.92345361023496</v>
      </c>
      <c r="N237">
        <f t="shared" si="17"/>
        <v>23.333333333333332</v>
      </c>
      <c r="O237">
        <f t="shared" si="18"/>
        <v>1.1878999771583088</v>
      </c>
    </row>
    <row r="238" spans="1:15" x14ac:dyDescent="0.3">
      <c r="A238">
        <v>237</v>
      </c>
      <c r="B238" s="1">
        <v>44249</v>
      </c>
      <c r="C238" t="s">
        <v>24</v>
      </c>
      <c r="D238" t="s">
        <v>17</v>
      </c>
      <c r="E238">
        <v>9034945</v>
      </c>
      <c r="F238">
        <v>4565811</v>
      </c>
      <c r="G238">
        <v>33474.699999999997</v>
      </c>
      <c r="H238">
        <v>5397</v>
      </c>
      <c r="I238">
        <v>108</v>
      </c>
      <c r="J238">
        <v>9</v>
      </c>
      <c r="K238">
        <v>53829</v>
      </c>
      <c r="L238">
        <f t="shared" si="19"/>
        <v>3719.4111111111106</v>
      </c>
      <c r="M238">
        <f t="shared" si="16"/>
        <v>160.8050258852208</v>
      </c>
      <c r="N238">
        <f t="shared" si="17"/>
        <v>8.3333333333333321</v>
      </c>
      <c r="O238">
        <f t="shared" si="18"/>
        <v>0.11820463002082215</v>
      </c>
    </row>
    <row r="239" spans="1:15" x14ac:dyDescent="0.3">
      <c r="A239">
        <v>238</v>
      </c>
      <c r="B239" s="1">
        <v>44249</v>
      </c>
      <c r="C239" t="s">
        <v>25</v>
      </c>
      <c r="D239" t="s">
        <v>17</v>
      </c>
      <c r="E239">
        <v>983498</v>
      </c>
      <c r="F239">
        <v>2190892</v>
      </c>
      <c r="G239">
        <v>19196.599999999999</v>
      </c>
      <c r="H239">
        <v>10202</v>
      </c>
      <c r="I239">
        <v>124</v>
      </c>
      <c r="J239">
        <v>7</v>
      </c>
      <c r="K239">
        <v>14602</v>
      </c>
      <c r="L239">
        <f t="shared" si="19"/>
        <v>2742.3714285714282</v>
      </c>
      <c r="M239">
        <f t="shared" si="16"/>
        <v>76.065553275059131</v>
      </c>
      <c r="N239">
        <f t="shared" si="17"/>
        <v>5.6451612903225801</v>
      </c>
      <c r="O239">
        <f t="shared" si="18"/>
        <v>0.46565508477825468</v>
      </c>
    </row>
    <row r="240" spans="1:15" x14ac:dyDescent="0.3">
      <c r="A240">
        <v>239</v>
      </c>
      <c r="B240" s="1">
        <v>44249</v>
      </c>
      <c r="C240" t="s">
        <v>26</v>
      </c>
      <c r="D240" t="s">
        <v>17</v>
      </c>
      <c r="E240">
        <v>4387490</v>
      </c>
      <c r="F240">
        <v>17821</v>
      </c>
      <c r="G240">
        <v>5792.48</v>
      </c>
      <c r="H240">
        <v>598</v>
      </c>
      <c r="I240">
        <v>12</v>
      </c>
      <c r="J240">
        <v>3</v>
      </c>
      <c r="K240">
        <v>12168</v>
      </c>
      <c r="L240">
        <f t="shared" si="19"/>
        <v>1930.8266666666666</v>
      </c>
      <c r="M240">
        <f t="shared" si="16"/>
        <v>210.06546418805075</v>
      </c>
      <c r="N240">
        <f t="shared" si="17"/>
        <v>25</v>
      </c>
      <c r="O240">
        <f t="shared" si="18"/>
        <v>3.355591717636496</v>
      </c>
    </row>
    <row r="241" spans="1:15" x14ac:dyDescent="0.3">
      <c r="A241">
        <v>240</v>
      </c>
      <c r="B241" s="1">
        <v>44249</v>
      </c>
      <c r="C241" t="s">
        <v>27</v>
      </c>
      <c r="D241" t="s">
        <v>17</v>
      </c>
      <c r="E241">
        <v>544756</v>
      </c>
      <c r="F241">
        <v>239600</v>
      </c>
      <c r="G241">
        <v>51783.3</v>
      </c>
      <c r="H241">
        <v>2396</v>
      </c>
      <c r="I241">
        <v>48</v>
      </c>
      <c r="J241">
        <v>6</v>
      </c>
      <c r="K241">
        <v>5886</v>
      </c>
      <c r="L241">
        <f t="shared" si="19"/>
        <v>8630.5500000000011</v>
      </c>
      <c r="M241">
        <f t="shared" si="16"/>
        <v>11.366598884196256</v>
      </c>
      <c r="N241">
        <f t="shared" si="17"/>
        <v>12.5</v>
      </c>
      <c r="O241">
        <f t="shared" si="18"/>
        <v>1</v>
      </c>
    </row>
    <row r="242" spans="1:15" x14ac:dyDescent="0.3">
      <c r="A242">
        <v>241</v>
      </c>
      <c r="B242" s="1">
        <v>44249</v>
      </c>
      <c r="C242" t="s">
        <v>28</v>
      </c>
      <c r="D242" t="s">
        <v>23</v>
      </c>
      <c r="E242">
        <v>374754</v>
      </c>
      <c r="F242">
        <v>599700</v>
      </c>
      <c r="G242">
        <v>137382</v>
      </c>
      <c r="H242">
        <v>5997</v>
      </c>
      <c r="I242">
        <v>236</v>
      </c>
      <c r="J242">
        <v>35</v>
      </c>
      <c r="K242">
        <v>158340</v>
      </c>
      <c r="L242">
        <f t="shared" si="19"/>
        <v>3925.2</v>
      </c>
      <c r="M242">
        <f t="shared" si="16"/>
        <v>115.25527361663099</v>
      </c>
      <c r="N242">
        <f t="shared" si="17"/>
        <v>14.83050847457627</v>
      </c>
      <c r="O242">
        <f t="shared" si="18"/>
        <v>1</v>
      </c>
    </row>
    <row r="243" spans="1:15" x14ac:dyDescent="0.3">
      <c r="A243">
        <v>242</v>
      </c>
      <c r="B243" s="1">
        <v>44249</v>
      </c>
      <c r="C243" t="s">
        <v>29</v>
      </c>
      <c r="D243" t="s">
        <v>30</v>
      </c>
      <c r="E243">
        <v>39889</v>
      </c>
      <c r="F243">
        <v>105873774</v>
      </c>
      <c r="G243">
        <v>60021.599999999999</v>
      </c>
      <c r="H243">
        <v>8409</v>
      </c>
      <c r="I243">
        <v>168</v>
      </c>
      <c r="J243">
        <v>20</v>
      </c>
      <c r="K243">
        <v>80600</v>
      </c>
      <c r="L243">
        <f t="shared" si="19"/>
        <v>3001.08</v>
      </c>
      <c r="M243">
        <f t="shared" si="16"/>
        <v>134.28499073666814</v>
      </c>
      <c r="N243">
        <f t="shared" si="17"/>
        <v>11.904761904761903</v>
      </c>
      <c r="O243">
        <f t="shared" si="18"/>
        <v>7.9424768592833948E-3</v>
      </c>
    </row>
    <row r="244" spans="1:15" x14ac:dyDescent="0.3">
      <c r="A244">
        <v>243</v>
      </c>
      <c r="B244" s="1">
        <v>44250</v>
      </c>
      <c r="C244" t="s">
        <v>16</v>
      </c>
      <c r="D244" t="s">
        <v>17</v>
      </c>
      <c r="E244">
        <v>349043</v>
      </c>
      <c r="F244">
        <v>924525</v>
      </c>
      <c r="G244">
        <v>9858.2800000000007</v>
      </c>
      <c r="H244">
        <v>1203</v>
      </c>
      <c r="I244">
        <v>28</v>
      </c>
      <c r="J244">
        <v>2</v>
      </c>
      <c r="K244">
        <v>9962</v>
      </c>
      <c r="L244">
        <f t="shared" si="19"/>
        <v>4929.1400000000003</v>
      </c>
      <c r="M244">
        <f t="shared" si="16"/>
        <v>101.05211051014984</v>
      </c>
      <c r="N244">
        <f t="shared" si="17"/>
        <v>7.1428571428571423</v>
      </c>
      <c r="O244">
        <f t="shared" si="18"/>
        <v>0.13012087288066845</v>
      </c>
    </row>
    <row r="245" spans="1:15" x14ac:dyDescent="0.3">
      <c r="A245">
        <v>244</v>
      </c>
      <c r="B245" s="1">
        <v>44250</v>
      </c>
      <c r="C245" t="s">
        <v>18</v>
      </c>
      <c r="D245" t="s">
        <v>17</v>
      </c>
      <c r="E245">
        <v>348934</v>
      </c>
      <c r="F245">
        <v>475992</v>
      </c>
      <c r="G245">
        <v>19350</v>
      </c>
      <c r="H245">
        <v>1641</v>
      </c>
      <c r="I245">
        <v>37</v>
      </c>
      <c r="J245">
        <v>3</v>
      </c>
      <c r="K245">
        <v>12225</v>
      </c>
      <c r="L245">
        <f t="shared" si="19"/>
        <v>6450</v>
      </c>
      <c r="M245">
        <f t="shared" si="16"/>
        <v>63.178294573643413</v>
      </c>
      <c r="N245">
        <f t="shared" si="17"/>
        <v>8.1081081081081088</v>
      </c>
      <c r="O245">
        <f t="shared" si="18"/>
        <v>0.34475369333938383</v>
      </c>
    </row>
    <row r="246" spans="1:15" x14ac:dyDescent="0.3">
      <c r="A246">
        <v>245</v>
      </c>
      <c r="B246" s="1">
        <v>44250</v>
      </c>
      <c r="C246" t="s">
        <v>19</v>
      </c>
      <c r="D246" t="s">
        <v>20</v>
      </c>
      <c r="E246">
        <v>89459845</v>
      </c>
      <c r="F246">
        <v>22175</v>
      </c>
      <c r="G246">
        <v>5409.21</v>
      </c>
      <c r="H246">
        <v>442</v>
      </c>
      <c r="I246">
        <v>9</v>
      </c>
      <c r="J246">
        <v>2</v>
      </c>
      <c r="K246">
        <v>15050</v>
      </c>
      <c r="L246">
        <f t="shared" si="19"/>
        <v>2704.605</v>
      </c>
      <c r="M246">
        <f t="shared" si="16"/>
        <v>278.22916839982179</v>
      </c>
      <c r="N246">
        <f t="shared" si="17"/>
        <v>22.222222222222221</v>
      </c>
      <c r="O246">
        <f t="shared" si="18"/>
        <v>1.9932356257046222</v>
      </c>
    </row>
    <row r="247" spans="1:15" x14ac:dyDescent="0.3">
      <c r="A247">
        <v>246</v>
      </c>
      <c r="B247" s="1">
        <v>44250</v>
      </c>
      <c r="C247" t="s">
        <v>21</v>
      </c>
      <c r="D247" t="s">
        <v>20</v>
      </c>
      <c r="E247">
        <v>127823</v>
      </c>
      <c r="F247">
        <v>241000</v>
      </c>
      <c r="G247">
        <v>12581.6</v>
      </c>
      <c r="H247">
        <v>1205</v>
      </c>
      <c r="I247">
        <v>24</v>
      </c>
      <c r="J247">
        <v>3</v>
      </c>
      <c r="K247">
        <v>8943</v>
      </c>
      <c r="L247">
        <f t="shared" si="19"/>
        <v>4193.8666666666668</v>
      </c>
      <c r="M247">
        <f t="shared" si="16"/>
        <v>71.079989826413168</v>
      </c>
      <c r="N247">
        <f t="shared" si="17"/>
        <v>12.5</v>
      </c>
      <c r="O247">
        <f t="shared" si="18"/>
        <v>0.5</v>
      </c>
    </row>
    <row r="248" spans="1:15" x14ac:dyDescent="0.3">
      <c r="A248">
        <v>247</v>
      </c>
      <c r="B248" s="1">
        <v>44250</v>
      </c>
      <c r="C248" t="s">
        <v>22</v>
      </c>
      <c r="D248" t="s">
        <v>23</v>
      </c>
      <c r="E248">
        <v>10934</v>
      </c>
      <c r="F248">
        <v>297609</v>
      </c>
      <c r="G248">
        <v>16343</v>
      </c>
      <c r="H248">
        <v>2246</v>
      </c>
      <c r="I248">
        <v>45</v>
      </c>
      <c r="J248">
        <v>8</v>
      </c>
      <c r="K248">
        <v>63848</v>
      </c>
      <c r="L248">
        <f t="shared" si="19"/>
        <v>2042.875</v>
      </c>
      <c r="M248">
        <f t="shared" si="16"/>
        <v>390.6749066878786</v>
      </c>
      <c r="N248">
        <f t="shared" si="17"/>
        <v>17.777777777777779</v>
      </c>
      <c r="O248">
        <f t="shared" si="18"/>
        <v>0.75468147804669883</v>
      </c>
    </row>
    <row r="249" spans="1:15" x14ac:dyDescent="0.3">
      <c r="A249">
        <v>248</v>
      </c>
      <c r="B249" s="1">
        <v>44250</v>
      </c>
      <c r="C249" t="s">
        <v>24</v>
      </c>
      <c r="D249" t="s">
        <v>17</v>
      </c>
      <c r="E249">
        <v>9034945</v>
      </c>
      <c r="F249">
        <v>536236</v>
      </c>
      <c r="G249">
        <v>557.25</v>
      </c>
      <c r="H249">
        <v>1349</v>
      </c>
      <c r="I249">
        <v>1</v>
      </c>
      <c r="J249">
        <v>0</v>
      </c>
      <c r="K249">
        <v>0</v>
      </c>
      <c r="L249">
        <v>0</v>
      </c>
      <c r="M249">
        <f t="shared" si="16"/>
        <v>0</v>
      </c>
      <c r="N249">
        <f t="shared" si="17"/>
        <v>0</v>
      </c>
      <c r="O249">
        <f t="shared" si="18"/>
        <v>0.25156833931328743</v>
      </c>
    </row>
    <row r="250" spans="1:15" x14ac:dyDescent="0.3">
      <c r="A250">
        <v>249</v>
      </c>
      <c r="B250" s="1">
        <v>44250</v>
      </c>
      <c r="C250" t="s">
        <v>25</v>
      </c>
      <c r="D250" t="s">
        <v>17</v>
      </c>
      <c r="E250">
        <v>983498</v>
      </c>
      <c r="F250">
        <v>512000</v>
      </c>
      <c r="G250">
        <v>4285.4399999999996</v>
      </c>
      <c r="H250">
        <v>2560</v>
      </c>
      <c r="I250">
        <v>51</v>
      </c>
      <c r="J250">
        <v>2</v>
      </c>
      <c r="K250">
        <v>2934</v>
      </c>
      <c r="L250">
        <f t="shared" si="19"/>
        <v>2142.7199999999998</v>
      </c>
      <c r="M250">
        <f t="shared" si="16"/>
        <v>68.464381720430111</v>
      </c>
      <c r="N250">
        <f t="shared" si="17"/>
        <v>3.9215686274509802</v>
      </c>
      <c r="O250">
        <f t="shared" si="18"/>
        <v>0.5</v>
      </c>
    </row>
    <row r="251" spans="1:15" x14ac:dyDescent="0.3">
      <c r="A251">
        <v>250</v>
      </c>
      <c r="B251" s="1">
        <v>44250</v>
      </c>
      <c r="C251" t="s">
        <v>26</v>
      </c>
      <c r="D251" t="s">
        <v>17</v>
      </c>
      <c r="E251">
        <v>4387490</v>
      </c>
      <c r="F251">
        <v>4908</v>
      </c>
      <c r="G251">
        <v>1238.0899999999999</v>
      </c>
      <c r="H251">
        <v>155</v>
      </c>
      <c r="I251">
        <v>3</v>
      </c>
      <c r="J251">
        <v>1</v>
      </c>
      <c r="K251">
        <v>5265</v>
      </c>
      <c r="L251">
        <f t="shared" si="19"/>
        <v>1238.0899999999999</v>
      </c>
      <c r="M251">
        <f t="shared" si="16"/>
        <v>425.25179914222713</v>
      </c>
      <c r="N251">
        <f t="shared" si="17"/>
        <v>33.333333333333329</v>
      </c>
      <c r="O251">
        <f t="shared" si="18"/>
        <v>3.1581092094539529</v>
      </c>
    </row>
    <row r="252" spans="1:15" x14ac:dyDescent="0.3">
      <c r="A252">
        <v>251</v>
      </c>
      <c r="B252" s="1">
        <v>44250</v>
      </c>
      <c r="C252" t="s">
        <v>27</v>
      </c>
      <c r="D252" t="s">
        <v>17</v>
      </c>
      <c r="E252">
        <v>544756</v>
      </c>
      <c r="F252">
        <v>60800</v>
      </c>
      <c r="G252">
        <v>16078.6</v>
      </c>
      <c r="H252">
        <v>608</v>
      </c>
      <c r="I252">
        <v>12</v>
      </c>
      <c r="J252">
        <v>2</v>
      </c>
      <c r="K252">
        <v>2720</v>
      </c>
      <c r="L252">
        <f t="shared" si="19"/>
        <v>8039.3</v>
      </c>
      <c r="M252">
        <f t="shared" si="16"/>
        <v>16.916895749629944</v>
      </c>
      <c r="N252">
        <f t="shared" si="17"/>
        <v>16.666666666666664</v>
      </c>
      <c r="O252">
        <f t="shared" si="18"/>
        <v>1</v>
      </c>
    </row>
    <row r="253" spans="1:15" x14ac:dyDescent="0.3">
      <c r="A253">
        <v>252</v>
      </c>
      <c r="B253" s="1">
        <v>44250</v>
      </c>
      <c r="C253" t="s">
        <v>28</v>
      </c>
      <c r="D253" t="s">
        <v>23</v>
      </c>
      <c r="E253">
        <v>374754</v>
      </c>
      <c r="F253">
        <v>117218</v>
      </c>
      <c r="G253">
        <v>15435</v>
      </c>
      <c r="H253">
        <v>1500</v>
      </c>
      <c r="I253">
        <v>31</v>
      </c>
      <c r="J253">
        <v>4</v>
      </c>
      <c r="K253">
        <v>17816</v>
      </c>
      <c r="L253">
        <f t="shared" si="19"/>
        <v>3858.75</v>
      </c>
      <c r="M253">
        <f t="shared" si="16"/>
        <v>115.42597991577583</v>
      </c>
      <c r="N253">
        <f t="shared" si="17"/>
        <v>12.903225806451612</v>
      </c>
      <c r="O253">
        <f t="shared" si="18"/>
        <v>1.2796669453496903</v>
      </c>
    </row>
    <row r="254" spans="1:15" x14ac:dyDescent="0.3">
      <c r="A254">
        <v>253</v>
      </c>
      <c r="B254" s="1">
        <v>44250</v>
      </c>
      <c r="C254" t="s">
        <v>29</v>
      </c>
      <c r="D254" t="s">
        <v>30</v>
      </c>
      <c r="E254">
        <v>39889</v>
      </c>
      <c r="F254">
        <v>654544</v>
      </c>
      <c r="G254">
        <v>16706.400000000001</v>
      </c>
      <c r="H254">
        <v>2099</v>
      </c>
      <c r="I254">
        <v>42</v>
      </c>
      <c r="J254">
        <v>6</v>
      </c>
      <c r="K254">
        <v>23886</v>
      </c>
      <c r="L254">
        <f t="shared" si="19"/>
        <v>2784.4</v>
      </c>
      <c r="M254">
        <f t="shared" si="16"/>
        <v>142.97514724895848</v>
      </c>
      <c r="N254">
        <f t="shared" si="17"/>
        <v>14.285714285714285</v>
      </c>
      <c r="O254">
        <f t="shared" si="18"/>
        <v>0.32068126818059595</v>
      </c>
    </row>
    <row r="255" spans="1:15" x14ac:dyDescent="0.3">
      <c r="A255">
        <v>254</v>
      </c>
      <c r="B255" s="1">
        <v>44251</v>
      </c>
      <c r="C255" t="s">
        <v>16</v>
      </c>
      <c r="D255" t="s">
        <v>17</v>
      </c>
      <c r="E255">
        <v>349043</v>
      </c>
      <c r="F255">
        <v>479596</v>
      </c>
      <c r="G255">
        <v>94564.2</v>
      </c>
      <c r="H255">
        <v>2408</v>
      </c>
      <c r="I255">
        <v>93</v>
      </c>
      <c r="J255">
        <v>15</v>
      </c>
      <c r="K255">
        <v>81825</v>
      </c>
      <c r="L255">
        <f t="shared" si="19"/>
        <v>6304.28</v>
      </c>
      <c r="M255">
        <f t="shared" si="16"/>
        <v>86.528517134391237</v>
      </c>
      <c r="N255">
        <f t="shared" si="17"/>
        <v>16.129032258064516</v>
      </c>
      <c r="O255">
        <f t="shared" si="18"/>
        <v>0.50208925845920316</v>
      </c>
    </row>
    <row r="256" spans="1:15" x14ac:dyDescent="0.3">
      <c r="A256">
        <v>255</v>
      </c>
      <c r="B256" s="1">
        <v>44251</v>
      </c>
      <c r="C256" t="s">
        <v>18</v>
      </c>
      <c r="D256" t="s">
        <v>17</v>
      </c>
      <c r="E256">
        <v>348934</v>
      </c>
      <c r="F256">
        <v>395127</v>
      </c>
      <c r="G256">
        <v>44347.199999999997</v>
      </c>
      <c r="H256">
        <v>3297</v>
      </c>
      <c r="I256">
        <v>66</v>
      </c>
      <c r="J256">
        <v>7</v>
      </c>
      <c r="K256">
        <v>34867</v>
      </c>
      <c r="L256">
        <f t="shared" si="19"/>
        <v>6335.3142857142857</v>
      </c>
      <c r="M256">
        <f t="shared" si="16"/>
        <v>78.622776635277987</v>
      </c>
      <c r="N256">
        <f t="shared" si="17"/>
        <v>10.606060606060606</v>
      </c>
      <c r="O256">
        <f t="shared" si="18"/>
        <v>0.83441526395310883</v>
      </c>
    </row>
    <row r="257" spans="1:15" x14ac:dyDescent="0.3">
      <c r="A257">
        <v>256</v>
      </c>
      <c r="B257" s="1">
        <v>44251</v>
      </c>
      <c r="C257" t="s">
        <v>19</v>
      </c>
      <c r="D257" t="s">
        <v>20</v>
      </c>
      <c r="E257">
        <v>89459845</v>
      </c>
      <c r="F257">
        <v>45150</v>
      </c>
      <c r="G257">
        <v>14306.2</v>
      </c>
      <c r="H257">
        <v>903</v>
      </c>
      <c r="I257">
        <v>18</v>
      </c>
      <c r="J257">
        <v>3</v>
      </c>
      <c r="K257">
        <v>23943</v>
      </c>
      <c r="L257">
        <f t="shared" si="19"/>
        <v>4768.7333333333336</v>
      </c>
      <c r="M257">
        <f t="shared" si="16"/>
        <v>167.36100431980537</v>
      </c>
      <c r="N257">
        <f t="shared" si="17"/>
        <v>16.666666666666664</v>
      </c>
      <c r="O257">
        <f t="shared" si="18"/>
        <v>2</v>
      </c>
    </row>
    <row r="258" spans="1:15" x14ac:dyDescent="0.3">
      <c r="A258">
        <v>257</v>
      </c>
      <c r="B258" s="1">
        <v>44251</v>
      </c>
      <c r="C258" t="s">
        <v>21</v>
      </c>
      <c r="D258" t="s">
        <v>20</v>
      </c>
      <c r="E258">
        <v>127823</v>
      </c>
      <c r="F258">
        <v>291441</v>
      </c>
      <c r="G258">
        <v>22357.599999999999</v>
      </c>
      <c r="H258">
        <v>2408</v>
      </c>
      <c r="I258">
        <v>52</v>
      </c>
      <c r="J258">
        <v>5</v>
      </c>
      <c r="K258">
        <v>19060</v>
      </c>
      <c r="L258">
        <f t="shared" si="19"/>
        <v>4471.5199999999995</v>
      </c>
      <c r="M258">
        <f t="shared" si="16"/>
        <v>85.250653021791251</v>
      </c>
      <c r="N258">
        <f t="shared" si="17"/>
        <v>9.6153846153846168</v>
      </c>
      <c r="O258">
        <f t="shared" si="18"/>
        <v>0.82623927312903811</v>
      </c>
    </row>
    <row r="259" spans="1:15" x14ac:dyDescent="0.3">
      <c r="A259">
        <v>258</v>
      </c>
      <c r="B259" s="1">
        <v>44251</v>
      </c>
      <c r="C259" t="s">
        <v>22</v>
      </c>
      <c r="D259" t="s">
        <v>23</v>
      </c>
      <c r="E259">
        <v>10934</v>
      </c>
      <c r="F259">
        <v>409320</v>
      </c>
      <c r="G259">
        <v>22944.3</v>
      </c>
      <c r="H259">
        <v>4508</v>
      </c>
      <c r="I259">
        <v>65</v>
      </c>
      <c r="J259">
        <v>14</v>
      </c>
      <c r="K259">
        <v>111734</v>
      </c>
      <c r="L259">
        <f t="shared" si="19"/>
        <v>1638.8785714285714</v>
      </c>
      <c r="M259">
        <f t="shared" ref="M259:M309" si="20">(K259/G259)*100</f>
        <v>486.97933691592243</v>
      </c>
      <c r="N259">
        <f t="shared" ref="N259:N309" si="21">(J259/I259)*100</f>
        <v>21.53846153846154</v>
      </c>
      <c r="O259">
        <f t="shared" ref="O259:O309" si="22">H259/F259*100</f>
        <v>1.1013388058242939</v>
      </c>
    </row>
    <row r="260" spans="1:15" x14ac:dyDescent="0.3">
      <c r="A260">
        <v>259</v>
      </c>
      <c r="B260" s="1">
        <v>44251</v>
      </c>
      <c r="C260" t="s">
        <v>24</v>
      </c>
      <c r="D260" t="s">
        <v>17</v>
      </c>
      <c r="E260">
        <v>9034945</v>
      </c>
      <c r="F260">
        <v>869482</v>
      </c>
      <c r="G260">
        <v>23908.400000000001</v>
      </c>
      <c r="H260">
        <v>2703</v>
      </c>
      <c r="I260">
        <v>42</v>
      </c>
      <c r="J260">
        <v>7</v>
      </c>
      <c r="K260">
        <v>36456</v>
      </c>
      <c r="L260">
        <f t="shared" si="19"/>
        <v>3415.4857142857145</v>
      </c>
      <c r="M260">
        <f t="shared" si="20"/>
        <v>152.48197286309414</v>
      </c>
      <c r="N260">
        <f t="shared" si="21"/>
        <v>16.666666666666664</v>
      </c>
      <c r="O260">
        <f t="shared" si="22"/>
        <v>0.31087475071364329</v>
      </c>
    </row>
    <row r="261" spans="1:15" x14ac:dyDescent="0.3">
      <c r="A261">
        <v>260</v>
      </c>
      <c r="B261" s="1">
        <v>44251</v>
      </c>
      <c r="C261" t="s">
        <v>25</v>
      </c>
      <c r="D261" t="s">
        <v>17</v>
      </c>
      <c r="E261">
        <v>983498</v>
      </c>
      <c r="F261">
        <v>624157</v>
      </c>
      <c r="G261">
        <v>18675</v>
      </c>
      <c r="H261">
        <v>5098</v>
      </c>
      <c r="I261">
        <v>122</v>
      </c>
      <c r="J261">
        <v>6</v>
      </c>
      <c r="K261">
        <v>10590</v>
      </c>
      <c r="L261">
        <f t="shared" si="19"/>
        <v>3112.5</v>
      </c>
      <c r="M261">
        <f t="shared" si="20"/>
        <v>56.706827309236949</v>
      </c>
      <c r="N261">
        <f t="shared" si="21"/>
        <v>4.918032786885246</v>
      </c>
      <c r="O261">
        <f t="shared" si="22"/>
        <v>0.81678167512340638</v>
      </c>
    </row>
    <row r="262" spans="1:15" x14ac:dyDescent="0.3">
      <c r="A262">
        <v>261</v>
      </c>
      <c r="B262" s="1">
        <v>44251</v>
      </c>
      <c r="C262" t="s">
        <v>26</v>
      </c>
      <c r="D262" t="s">
        <v>17</v>
      </c>
      <c r="E262">
        <v>4387490</v>
      </c>
      <c r="F262">
        <v>8966</v>
      </c>
      <c r="G262">
        <v>2857.1</v>
      </c>
      <c r="H262">
        <v>297</v>
      </c>
      <c r="I262">
        <v>6</v>
      </c>
      <c r="J262">
        <v>1</v>
      </c>
      <c r="K262">
        <v>4981</v>
      </c>
      <c r="L262">
        <f t="shared" si="19"/>
        <v>2857.1</v>
      </c>
      <c r="M262">
        <f t="shared" si="20"/>
        <v>174.33761506422596</v>
      </c>
      <c r="N262">
        <f t="shared" si="21"/>
        <v>16.666666666666664</v>
      </c>
      <c r="O262">
        <f t="shared" si="22"/>
        <v>3.3125139415569929</v>
      </c>
    </row>
    <row r="263" spans="1:15" x14ac:dyDescent="0.3">
      <c r="A263">
        <v>262</v>
      </c>
      <c r="B263" s="1">
        <v>44251</v>
      </c>
      <c r="C263" t="s">
        <v>27</v>
      </c>
      <c r="D263" t="s">
        <v>17</v>
      </c>
      <c r="E263">
        <v>544756</v>
      </c>
      <c r="F263">
        <v>148794</v>
      </c>
      <c r="G263">
        <v>48796.6</v>
      </c>
      <c r="H263">
        <v>1196</v>
      </c>
      <c r="I263">
        <v>38</v>
      </c>
      <c r="J263">
        <v>6</v>
      </c>
      <c r="K263">
        <v>8178</v>
      </c>
      <c r="L263">
        <f t="shared" si="19"/>
        <v>8132.7666666666664</v>
      </c>
      <c r="M263">
        <f t="shared" si="20"/>
        <v>16.759364381944643</v>
      </c>
      <c r="N263">
        <f t="shared" si="21"/>
        <v>15.789473684210526</v>
      </c>
      <c r="O263">
        <f t="shared" si="22"/>
        <v>0.80379585198327896</v>
      </c>
    </row>
    <row r="264" spans="1:15" x14ac:dyDescent="0.3">
      <c r="A264">
        <v>263</v>
      </c>
      <c r="B264" s="1">
        <v>44251</v>
      </c>
      <c r="C264" t="s">
        <v>28</v>
      </c>
      <c r="D264" t="s">
        <v>23</v>
      </c>
      <c r="E264">
        <v>374754</v>
      </c>
      <c r="F264">
        <v>355802</v>
      </c>
      <c r="G264">
        <v>42311.5</v>
      </c>
      <c r="H264">
        <v>2990</v>
      </c>
      <c r="I264">
        <v>60</v>
      </c>
      <c r="J264">
        <v>9</v>
      </c>
      <c r="K264">
        <v>44829</v>
      </c>
      <c r="L264">
        <f t="shared" si="19"/>
        <v>4701.2777777777774</v>
      </c>
      <c r="M264">
        <f t="shared" si="20"/>
        <v>105.9499190527398</v>
      </c>
      <c r="N264">
        <f t="shared" si="21"/>
        <v>15</v>
      </c>
      <c r="O264">
        <f t="shared" si="22"/>
        <v>0.84035502892057945</v>
      </c>
    </row>
    <row r="265" spans="1:15" x14ac:dyDescent="0.3">
      <c r="A265">
        <v>264</v>
      </c>
      <c r="B265" s="1">
        <v>44251</v>
      </c>
      <c r="C265" t="s">
        <v>29</v>
      </c>
      <c r="D265" t="s">
        <v>30</v>
      </c>
      <c r="E265">
        <v>39889</v>
      </c>
      <c r="F265">
        <v>2770687</v>
      </c>
      <c r="G265">
        <v>34169.9</v>
      </c>
      <c r="H265">
        <v>4205</v>
      </c>
      <c r="I265">
        <v>84</v>
      </c>
      <c r="J265">
        <v>16</v>
      </c>
      <c r="K265">
        <v>63696</v>
      </c>
      <c r="L265">
        <f t="shared" si="19"/>
        <v>2135.6187500000001</v>
      </c>
      <c r="M265">
        <f t="shared" si="20"/>
        <v>186.40967635257931</v>
      </c>
      <c r="N265">
        <f t="shared" si="21"/>
        <v>19.047619047619047</v>
      </c>
      <c r="O265">
        <f t="shared" si="22"/>
        <v>0.15176741364145427</v>
      </c>
    </row>
    <row r="266" spans="1:15" x14ac:dyDescent="0.3">
      <c r="A266">
        <v>265</v>
      </c>
      <c r="B266" s="1">
        <v>44252</v>
      </c>
      <c r="C266" t="s">
        <v>16</v>
      </c>
      <c r="D266" t="s">
        <v>17</v>
      </c>
      <c r="E266">
        <v>349043</v>
      </c>
      <c r="F266">
        <v>94600</v>
      </c>
      <c r="G266">
        <v>11230.2</v>
      </c>
      <c r="H266">
        <v>473</v>
      </c>
      <c r="I266">
        <v>15</v>
      </c>
      <c r="J266">
        <v>2</v>
      </c>
      <c r="K266">
        <v>10104</v>
      </c>
      <c r="L266">
        <f t="shared" si="19"/>
        <v>5615.1</v>
      </c>
      <c r="M266">
        <f t="shared" si="20"/>
        <v>89.971683496286786</v>
      </c>
      <c r="N266">
        <f t="shared" si="21"/>
        <v>13.333333333333334</v>
      </c>
      <c r="O266">
        <f t="shared" si="22"/>
        <v>0.5</v>
      </c>
    </row>
    <row r="267" spans="1:15" x14ac:dyDescent="0.3">
      <c r="A267">
        <v>266</v>
      </c>
      <c r="B267" s="1">
        <v>44252</v>
      </c>
      <c r="C267" t="s">
        <v>18</v>
      </c>
      <c r="D267" t="s">
        <v>17</v>
      </c>
      <c r="E267">
        <v>348934</v>
      </c>
      <c r="F267">
        <v>131400</v>
      </c>
      <c r="G267">
        <v>10357</v>
      </c>
      <c r="H267">
        <v>657</v>
      </c>
      <c r="I267">
        <v>13</v>
      </c>
      <c r="J267">
        <v>2</v>
      </c>
      <c r="K267">
        <v>9962</v>
      </c>
      <c r="L267">
        <f t="shared" si="19"/>
        <v>5178.5</v>
      </c>
      <c r="M267">
        <f t="shared" si="20"/>
        <v>96.186154291783339</v>
      </c>
      <c r="N267">
        <f t="shared" si="21"/>
        <v>15.384615384615385</v>
      </c>
      <c r="O267">
        <f t="shared" si="22"/>
        <v>0.5</v>
      </c>
    </row>
    <row r="268" spans="1:15" x14ac:dyDescent="0.3">
      <c r="A268">
        <v>267</v>
      </c>
      <c r="B268" s="1">
        <v>44252</v>
      </c>
      <c r="C268" t="s">
        <v>19</v>
      </c>
      <c r="D268" t="s">
        <v>20</v>
      </c>
      <c r="E268">
        <v>89459845</v>
      </c>
      <c r="F268">
        <v>8750</v>
      </c>
      <c r="G268">
        <v>1078.73</v>
      </c>
      <c r="H268">
        <v>175</v>
      </c>
      <c r="I268">
        <v>1</v>
      </c>
      <c r="J268">
        <v>0</v>
      </c>
      <c r="K268">
        <v>0</v>
      </c>
      <c r="L268">
        <v>0</v>
      </c>
      <c r="M268">
        <f t="shared" si="20"/>
        <v>0</v>
      </c>
      <c r="N268">
        <f t="shared" si="21"/>
        <v>0</v>
      </c>
      <c r="O268">
        <f t="shared" si="22"/>
        <v>2</v>
      </c>
    </row>
    <row r="269" spans="1:15" x14ac:dyDescent="0.3">
      <c r="A269">
        <v>268</v>
      </c>
      <c r="B269" s="1">
        <v>44252</v>
      </c>
      <c r="C269" t="s">
        <v>21</v>
      </c>
      <c r="D269" t="s">
        <v>20</v>
      </c>
      <c r="E269">
        <v>127823</v>
      </c>
      <c r="F269">
        <v>61867</v>
      </c>
      <c r="G269">
        <v>9472.2199999999993</v>
      </c>
      <c r="H269">
        <v>487</v>
      </c>
      <c r="I269">
        <v>19</v>
      </c>
      <c r="J269">
        <v>2</v>
      </c>
      <c r="K269">
        <v>5730</v>
      </c>
      <c r="L269">
        <f t="shared" si="19"/>
        <v>4736.1099999999997</v>
      </c>
      <c r="M269">
        <f t="shared" si="20"/>
        <v>60.492682813532625</v>
      </c>
      <c r="N269">
        <f t="shared" si="21"/>
        <v>10.526315789473683</v>
      </c>
      <c r="O269">
        <f t="shared" si="22"/>
        <v>0.7871724829068808</v>
      </c>
    </row>
    <row r="270" spans="1:15" x14ac:dyDescent="0.3">
      <c r="A270">
        <v>269</v>
      </c>
      <c r="B270" s="1">
        <v>44252</v>
      </c>
      <c r="C270" t="s">
        <v>22</v>
      </c>
      <c r="D270" t="s">
        <v>23</v>
      </c>
      <c r="E270">
        <v>10934</v>
      </c>
      <c r="F270">
        <v>94976</v>
      </c>
      <c r="G270">
        <v>9034.91</v>
      </c>
      <c r="H270">
        <v>904</v>
      </c>
      <c r="I270">
        <v>22</v>
      </c>
      <c r="J270">
        <v>5</v>
      </c>
      <c r="K270">
        <v>38030</v>
      </c>
      <c r="L270">
        <f t="shared" si="19"/>
        <v>1806.982</v>
      </c>
      <c r="M270">
        <f t="shared" si="20"/>
        <v>420.92284261824409</v>
      </c>
      <c r="N270">
        <f t="shared" si="21"/>
        <v>22.727272727272727</v>
      </c>
      <c r="O270">
        <f t="shared" si="22"/>
        <v>0.9518194070080862</v>
      </c>
    </row>
    <row r="271" spans="1:15" x14ac:dyDescent="0.3">
      <c r="A271">
        <v>270</v>
      </c>
      <c r="B271" s="1">
        <v>44252</v>
      </c>
      <c r="C271" t="s">
        <v>24</v>
      </c>
      <c r="D271" t="s">
        <v>17</v>
      </c>
      <c r="E271">
        <v>9034945</v>
      </c>
      <c r="F271">
        <v>106000</v>
      </c>
      <c r="G271">
        <v>2304.0100000000002</v>
      </c>
      <c r="H271">
        <v>530</v>
      </c>
      <c r="I271">
        <v>6</v>
      </c>
      <c r="J271">
        <v>1</v>
      </c>
      <c r="K271">
        <v>5981</v>
      </c>
      <c r="L271">
        <f t="shared" si="19"/>
        <v>2304.0100000000002</v>
      </c>
      <c r="M271">
        <f t="shared" si="20"/>
        <v>259.59088719232983</v>
      </c>
      <c r="N271">
        <f t="shared" si="21"/>
        <v>16.666666666666664</v>
      </c>
      <c r="O271">
        <f t="shared" si="22"/>
        <v>0.5</v>
      </c>
    </row>
    <row r="272" spans="1:15" x14ac:dyDescent="0.3">
      <c r="A272">
        <v>271</v>
      </c>
      <c r="B272" s="1">
        <v>44252</v>
      </c>
      <c r="C272" t="s">
        <v>25</v>
      </c>
      <c r="D272" t="s">
        <v>17</v>
      </c>
      <c r="E272">
        <v>983498</v>
      </c>
      <c r="F272">
        <v>115468</v>
      </c>
      <c r="G272">
        <v>2059.0300000000002</v>
      </c>
      <c r="H272">
        <v>1015</v>
      </c>
      <c r="I272">
        <v>20</v>
      </c>
      <c r="J272">
        <v>1</v>
      </c>
      <c r="K272">
        <v>1981</v>
      </c>
      <c r="L272">
        <f t="shared" ref="L272:L320" si="23">G272/J272</f>
        <v>2059.0300000000002</v>
      </c>
      <c r="M272">
        <f t="shared" si="20"/>
        <v>96.21035147618052</v>
      </c>
      <c r="N272">
        <f t="shared" si="21"/>
        <v>5</v>
      </c>
      <c r="O272">
        <f t="shared" si="22"/>
        <v>0.87903141996050849</v>
      </c>
    </row>
    <row r="273" spans="1:15" x14ac:dyDescent="0.3">
      <c r="A273">
        <v>272</v>
      </c>
      <c r="B273" s="1">
        <v>44252</v>
      </c>
      <c r="C273" t="s">
        <v>26</v>
      </c>
      <c r="D273" t="s">
        <v>17</v>
      </c>
      <c r="E273">
        <v>4387490</v>
      </c>
      <c r="F273">
        <v>2214</v>
      </c>
      <c r="G273">
        <v>1487.47</v>
      </c>
      <c r="H273">
        <v>66</v>
      </c>
      <c r="I273">
        <v>3</v>
      </c>
      <c r="J273">
        <v>1</v>
      </c>
      <c r="K273">
        <v>4461</v>
      </c>
      <c r="L273">
        <f t="shared" si="23"/>
        <v>1487.47</v>
      </c>
      <c r="M273">
        <f t="shared" si="20"/>
        <v>299.90520817226565</v>
      </c>
      <c r="N273">
        <f t="shared" si="21"/>
        <v>33.333333333333329</v>
      </c>
      <c r="O273">
        <f t="shared" si="22"/>
        <v>2.9810298102981028</v>
      </c>
    </row>
    <row r="274" spans="1:15" x14ac:dyDescent="0.3">
      <c r="A274">
        <v>273</v>
      </c>
      <c r="B274" s="1">
        <v>44252</v>
      </c>
      <c r="C274" t="s">
        <v>27</v>
      </c>
      <c r="D274" t="s">
        <v>17</v>
      </c>
      <c r="E274">
        <v>544756</v>
      </c>
      <c r="F274">
        <v>25000</v>
      </c>
      <c r="G274">
        <v>5871.29</v>
      </c>
      <c r="H274">
        <v>250</v>
      </c>
      <c r="I274">
        <v>5</v>
      </c>
      <c r="J274">
        <v>1</v>
      </c>
      <c r="K274">
        <v>981</v>
      </c>
      <c r="L274">
        <f t="shared" si="23"/>
        <v>5871.29</v>
      </c>
      <c r="M274">
        <f t="shared" si="20"/>
        <v>16.708423532136891</v>
      </c>
      <c r="N274">
        <f t="shared" si="21"/>
        <v>20</v>
      </c>
      <c r="O274">
        <f t="shared" si="22"/>
        <v>1</v>
      </c>
    </row>
    <row r="275" spans="1:15" x14ac:dyDescent="0.3">
      <c r="A275">
        <v>274</v>
      </c>
      <c r="B275" s="1">
        <v>44252</v>
      </c>
      <c r="C275" t="s">
        <v>28</v>
      </c>
      <c r="D275" t="s">
        <v>23</v>
      </c>
      <c r="E275">
        <v>374754</v>
      </c>
      <c r="F275">
        <v>46753</v>
      </c>
      <c r="G275">
        <v>6227.53</v>
      </c>
      <c r="H275">
        <v>591</v>
      </c>
      <c r="I275">
        <v>12</v>
      </c>
      <c r="J275">
        <v>2</v>
      </c>
      <c r="K275">
        <v>10130</v>
      </c>
      <c r="L275">
        <f t="shared" si="23"/>
        <v>3113.7649999999999</v>
      </c>
      <c r="M275">
        <f t="shared" si="20"/>
        <v>162.66481253402233</v>
      </c>
      <c r="N275">
        <f t="shared" si="21"/>
        <v>16.666666666666664</v>
      </c>
      <c r="O275">
        <f t="shared" si="22"/>
        <v>1.2640900049194703</v>
      </c>
    </row>
    <row r="276" spans="1:15" x14ac:dyDescent="0.3">
      <c r="A276">
        <v>275</v>
      </c>
      <c r="B276" s="1">
        <v>44252</v>
      </c>
      <c r="C276" t="s">
        <v>29</v>
      </c>
      <c r="D276" t="s">
        <v>30</v>
      </c>
      <c r="E276">
        <v>39889</v>
      </c>
      <c r="F276">
        <v>2885291</v>
      </c>
      <c r="G276">
        <v>7583.66</v>
      </c>
      <c r="H276">
        <v>848</v>
      </c>
      <c r="I276">
        <v>17</v>
      </c>
      <c r="J276">
        <v>3</v>
      </c>
      <c r="K276">
        <v>11943</v>
      </c>
      <c r="L276">
        <f t="shared" si="23"/>
        <v>2527.8866666666668</v>
      </c>
      <c r="M276">
        <f t="shared" si="20"/>
        <v>157.48332599299019</v>
      </c>
      <c r="N276">
        <f t="shared" si="21"/>
        <v>17.647058823529413</v>
      </c>
      <c r="O276">
        <f t="shared" si="22"/>
        <v>2.9390449698141363E-2</v>
      </c>
    </row>
    <row r="277" spans="1:15" x14ac:dyDescent="0.3">
      <c r="A277">
        <v>276</v>
      </c>
      <c r="B277" s="1">
        <v>44253</v>
      </c>
      <c r="C277" t="s">
        <v>16</v>
      </c>
      <c r="D277" t="s">
        <v>17</v>
      </c>
      <c r="E277">
        <v>349043</v>
      </c>
      <c r="F277">
        <v>168408</v>
      </c>
      <c r="G277">
        <v>19887.7</v>
      </c>
      <c r="H277">
        <v>1207</v>
      </c>
      <c r="I277">
        <v>39</v>
      </c>
      <c r="J277">
        <v>4</v>
      </c>
      <c r="K277">
        <v>22488</v>
      </c>
      <c r="L277">
        <f t="shared" si="23"/>
        <v>4971.9250000000002</v>
      </c>
      <c r="M277">
        <f t="shared" si="20"/>
        <v>113.0749156513825</v>
      </c>
      <c r="N277">
        <f t="shared" si="21"/>
        <v>10.256410256410255</v>
      </c>
      <c r="O277">
        <f t="shared" si="22"/>
        <v>0.71671179516412531</v>
      </c>
    </row>
    <row r="278" spans="1:15" x14ac:dyDescent="0.3">
      <c r="A278">
        <v>277</v>
      </c>
      <c r="B278" s="1">
        <v>44253</v>
      </c>
      <c r="C278" t="s">
        <v>18</v>
      </c>
      <c r="D278" t="s">
        <v>17</v>
      </c>
      <c r="E278">
        <v>348934</v>
      </c>
      <c r="F278">
        <v>438858</v>
      </c>
      <c r="G278">
        <v>17935.400000000001</v>
      </c>
      <c r="H278">
        <v>1657</v>
      </c>
      <c r="I278">
        <v>33</v>
      </c>
      <c r="J278">
        <v>3</v>
      </c>
      <c r="K278">
        <v>15345</v>
      </c>
      <c r="L278">
        <f t="shared" si="23"/>
        <v>5978.4666666666672</v>
      </c>
      <c r="M278">
        <f t="shared" si="20"/>
        <v>85.557054763205713</v>
      </c>
      <c r="N278">
        <f t="shared" si="21"/>
        <v>9.0909090909090917</v>
      </c>
      <c r="O278">
        <f t="shared" si="22"/>
        <v>0.37757087714021392</v>
      </c>
    </row>
    <row r="279" spans="1:15" x14ac:dyDescent="0.3">
      <c r="A279">
        <v>278</v>
      </c>
      <c r="B279" s="1">
        <v>44253</v>
      </c>
      <c r="C279" t="s">
        <v>19</v>
      </c>
      <c r="D279" t="s">
        <v>20</v>
      </c>
      <c r="E279">
        <v>89459845</v>
      </c>
      <c r="F279">
        <v>22450</v>
      </c>
      <c r="G279">
        <v>1545.74</v>
      </c>
      <c r="H279">
        <v>449</v>
      </c>
      <c r="I279">
        <v>2</v>
      </c>
      <c r="J279">
        <v>0</v>
      </c>
      <c r="K279">
        <v>0</v>
      </c>
      <c r="L279">
        <v>0</v>
      </c>
      <c r="M279">
        <f t="shared" si="20"/>
        <v>0</v>
      </c>
      <c r="N279">
        <f t="shared" si="21"/>
        <v>0</v>
      </c>
      <c r="O279">
        <f t="shared" si="22"/>
        <v>2</v>
      </c>
    </row>
    <row r="280" spans="1:15" x14ac:dyDescent="0.3">
      <c r="A280">
        <v>279</v>
      </c>
      <c r="B280" s="1">
        <v>44253</v>
      </c>
      <c r="C280" t="s">
        <v>21</v>
      </c>
      <c r="D280" t="s">
        <v>20</v>
      </c>
      <c r="E280">
        <v>127823</v>
      </c>
      <c r="F280">
        <v>240600</v>
      </c>
      <c r="G280">
        <v>4453.1000000000004</v>
      </c>
      <c r="H280">
        <v>1203</v>
      </c>
      <c r="I280">
        <v>11</v>
      </c>
      <c r="J280">
        <v>1</v>
      </c>
      <c r="K280">
        <v>2283</v>
      </c>
      <c r="L280">
        <f t="shared" si="23"/>
        <v>4453.1000000000004</v>
      </c>
      <c r="M280">
        <f t="shared" si="20"/>
        <v>51.267656239473624</v>
      </c>
      <c r="N280">
        <f t="shared" si="21"/>
        <v>9.0909090909090917</v>
      </c>
      <c r="O280">
        <f t="shared" si="22"/>
        <v>0.5</v>
      </c>
    </row>
    <row r="281" spans="1:15" x14ac:dyDescent="0.3">
      <c r="A281">
        <v>280</v>
      </c>
      <c r="B281" s="1">
        <v>44253</v>
      </c>
      <c r="C281" t="s">
        <v>22</v>
      </c>
      <c r="D281" t="s">
        <v>23</v>
      </c>
      <c r="E281">
        <v>10934</v>
      </c>
      <c r="F281">
        <v>195016</v>
      </c>
      <c r="G281">
        <v>38804.199999999997</v>
      </c>
      <c r="H281">
        <v>2247</v>
      </c>
      <c r="I281">
        <v>82</v>
      </c>
      <c r="J281">
        <v>16</v>
      </c>
      <c r="K281">
        <v>127696</v>
      </c>
      <c r="L281">
        <f t="shared" si="23"/>
        <v>2425.2624999999998</v>
      </c>
      <c r="M281">
        <f t="shared" si="20"/>
        <v>329.07778024028329</v>
      </c>
      <c r="N281">
        <f t="shared" si="21"/>
        <v>19.512195121951219</v>
      </c>
      <c r="O281">
        <f t="shared" si="22"/>
        <v>1.1522131517413956</v>
      </c>
    </row>
    <row r="282" spans="1:15" x14ac:dyDescent="0.3">
      <c r="A282">
        <v>281</v>
      </c>
      <c r="B282" s="1">
        <v>44253</v>
      </c>
      <c r="C282" t="s">
        <v>24</v>
      </c>
      <c r="D282" t="s">
        <v>17</v>
      </c>
      <c r="E282">
        <v>9034945</v>
      </c>
      <c r="F282">
        <v>174375</v>
      </c>
      <c r="G282">
        <v>12592.4</v>
      </c>
      <c r="H282">
        <v>1342</v>
      </c>
      <c r="I282">
        <v>27</v>
      </c>
      <c r="J282">
        <v>4</v>
      </c>
      <c r="K282">
        <v>26556</v>
      </c>
      <c r="L282">
        <f t="shared" si="23"/>
        <v>3148.1</v>
      </c>
      <c r="M282">
        <f t="shared" si="20"/>
        <v>210.88910771576508</v>
      </c>
      <c r="N282">
        <f t="shared" si="21"/>
        <v>14.814814814814813</v>
      </c>
      <c r="O282">
        <f t="shared" si="22"/>
        <v>0.7696057347670251</v>
      </c>
    </row>
    <row r="283" spans="1:15" x14ac:dyDescent="0.3">
      <c r="A283">
        <v>282</v>
      </c>
      <c r="B283" s="1">
        <v>44253</v>
      </c>
      <c r="C283" t="s">
        <v>25</v>
      </c>
      <c r="D283" t="s">
        <v>17</v>
      </c>
      <c r="E283">
        <v>983498</v>
      </c>
      <c r="F283">
        <v>508600</v>
      </c>
      <c r="G283">
        <v>2403.54</v>
      </c>
      <c r="H283">
        <v>2543</v>
      </c>
      <c r="I283">
        <v>73</v>
      </c>
      <c r="J283">
        <v>1</v>
      </c>
      <c r="K283">
        <v>1981</v>
      </c>
      <c r="L283">
        <f t="shared" si="23"/>
        <v>2403.54</v>
      </c>
      <c r="M283">
        <f t="shared" si="20"/>
        <v>82.42009702355692</v>
      </c>
      <c r="N283">
        <f t="shared" si="21"/>
        <v>1.3698630136986301</v>
      </c>
      <c r="O283">
        <f t="shared" si="22"/>
        <v>0.5</v>
      </c>
    </row>
    <row r="284" spans="1:15" x14ac:dyDescent="0.3">
      <c r="A284">
        <v>283</v>
      </c>
      <c r="B284" s="1">
        <v>44253</v>
      </c>
      <c r="C284" t="s">
        <v>26</v>
      </c>
      <c r="D284" t="s">
        <v>17</v>
      </c>
      <c r="E284">
        <v>4387490</v>
      </c>
      <c r="F284">
        <v>4906</v>
      </c>
      <c r="G284">
        <v>1071.1600000000001</v>
      </c>
      <c r="H284">
        <v>143</v>
      </c>
      <c r="I284">
        <v>3</v>
      </c>
      <c r="J284">
        <v>1</v>
      </c>
      <c r="K284">
        <v>4981</v>
      </c>
      <c r="L284">
        <f t="shared" si="23"/>
        <v>1071.1600000000001</v>
      </c>
      <c r="M284">
        <f t="shared" si="20"/>
        <v>465.00989581388399</v>
      </c>
      <c r="N284">
        <f t="shared" si="21"/>
        <v>33.333333333333329</v>
      </c>
      <c r="O284">
        <f t="shared" si="22"/>
        <v>2.9147982062780269</v>
      </c>
    </row>
    <row r="285" spans="1:15" x14ac:dyDescent="0.3">
      <c r="A285">
        <v>284</v>
      </c>
      <c r="B285" s="1">
        <v>44253</v>
      </c>
      <c r="C285" t="s">
        <v>27</v>
      </c>
      <c r="D285" t="s">
        <v>17</v>
      </c>
      <c r="E285">
        <v>544756</v>
      </c>
      <c r="F285">
        <v>55269</v>
      </c>
      <c r="G285">
        <v>315.92</v>
      </c>
      <c r="H285">
        <v>610</v>
      </c>
      <c r="I285">
        <v>0</v>
      </c>
      <c r="J285">
        <v>0</v>
      </c>
      <c r="K285">
        <v>0</v>
      </c>
      <c r="L285">
        <v>0</v>
      </c>
      <c r="M285">
        <f t="shared" si="20"/>
        <v>0</v>
      </c>
      <c r="N285">
        <v>0</v>
      </c>
      <c r="O285">
        <f t="shared" si="22"/>
        <v>1.1036928477084804</v>
      </c>
    </row>
    <row r="286" spans="1:15" x14ac:dyDescent="0.3">
      <c r="A286">
        <v>285</v>
      </c>
      <c r="B286" s="1">
        <v>44253</v>
      </c>
      <c r="C286" t="s">
        <v>28</v>
      </c>
      <c r="D286" t="s">
        <v>23</v>
      </c>
      <c r="E286">
        <v>374754</v>
      </c>
      <c r="F286">
        <v>192489</v>
      </c>
      <c r="G286">
        <v>15596</v>
      </c>
      <c r="H286">
        <v>1497</v>
      </c>
      <c r="I286">
        <v>34</v>
      </c>
      <c r="J286">
        <v>5</v>
      </c>
      <c r="K286">
        <v>25205</v>
      </c>
      <c r="L286">
        <f t="shared" si="23"/>
        <v>3119.2</v>
      </c>
      <c r="M286">
        <f t="shared" si="20"/>
        <v>161.61195178250833</v>
      </c>
      <c r="N286">
        <f t="shared" si="21"/>
        <v>14.705882352941178</v>
      </c>
      <c r="O286">
        <f t="shared" si="22"/>
        <v>0.77770677804965482</v>
      </c>
    </row>
    <row r="287" spans="1:15" x14ac:dyDescent="0.3">
      <c r="A287">
        <v>286</v>
      </c>
      <c r="B287" s="1">
        <v>44253</v>
      </c>
      <c r="C287" t="s">
        <v>29</v>
      </c>
      <c r="D287" t="s">
        <v>30</v>
      </c>
      <c r="E287">
        <v>39889</v>
      </c>
      <c r="F287">
        <v>20930000</v>
      </c>
      <c r="G287">
        <v>8087.73</v>
      </c>
      <c r="H287">
        <v>2093</v>
      </c>
      <c r="I287">
        <v>22</v>
      </c>
      <c r="J287">
        <v>3</v>
      </c>
      <c r="K287">
        <v>12213</v>
      </c>
      <c r="L287">
        <f t="shared" si="23"/>
        <v>2695.91</v>
      </c>
      <c r="M287">
        <f t="shared" si="20"/>
        <v>151.0065246985248</v>
      </c>
      <c r="N287">
        <f t="shared" si="21"/>
        <v>13.636363636363635</v>
      </c>
      <c r="O287">
        <f t="shared" si="22"/>
        <v>0.01</v>
      </c>
    </row>
    <row r="288" spans="1:15" x14ac:dyDescent="0.3">
      <c r="A288">
        <v>287</v>
      </c>
      <c r="B288" s="1">
        <v>44254</v>
      </c>
      <c r="C288" t="s">
        <v>16</v>
      </c>
      <c r="D288" t="s">
        <v>17</v>
      </c>
      <c r="E288">
        <v>349043</v>
      </c>
      <c r="F288">
        <v>213771</v>
      </c>
      <c r="G288">
        <v>5003.33</v>
      </c>
      <c r="H288">
        <v>241</v>
      </c>
      <c r="I288">
        <v>9</v>
      </c>
      <c r="J288">
        <v>1</v>
      </c>
      <c r="K288">
        <v>4223</v>
      </c>
      <c r="L288">
        <f t="shared" si="23"/>
        <v>5003.33</v>
      </c>
      <c r="M288">
        <f t="shared" si="20"/>
        <v>84.403787077806186</v>
      </c>
      <c r="N288">
        <f t="shared" si="21"/>
        <v>11.111111111111111</v>
      </c>
      <c r="O288">
        <f t="shared" si="22"/>
        <v>0.11273746205051199</v>
      </c>
    </row>
    <row r="289" spans="1:15" x14ac:dyDescent="0.3">
      <c r="A289">
        <v>288</v>
      </c>
      <c r="B289" s="1">
        <v>44254</v>
      </c>
      <c r="C289" t="s">
        <v>18</v>
      </c>
      <c r="D289" t="s">
        <v>17</v>
      </c>
      <c r="E289">
        <v>348934</v>
      </c>
      <c r="F289">
        <v>66400</v>
      </c>
      <c r="G289">
        <v>3235.77</v>
      </c>
      <c r="H289">
        <v>332</v>
      </c>
      <c r="I289">
        <v>13</v>
      </c>
      <c r="J289">
        <v>0</v>
      </c>
      <c r="K289">
        <v>0</v>
      </c>
      <c r="L289">
        <v>0</v>
      </c>
      <c r="M289">
        <f t="shared" si="20"/>
        <v>0</v>
      </c>
      <c r="N289">
        <f t="shared" si="21"/>
        <v>0</v>
      </c>
      <c r="O289">
        <f t="shared" si="22"/>
        <v>0.5</v>
      </c>
    </row>
    <row r="290" spans="1:15" x14ac:dyDescent="0.3">
      <c r="A290">
        <v>289</v>
      </c>
      <c r="B290" s="1">
        <v>44254</v>
      </c>
      <c r="C290" t="s">
        <v>19</v>
      </c>
      <c r="D290" t="s">
        <v>20</v>
      </c>
      <c r="E290">
        <v>89459845</v>
      </c>
      <c r="F290">
        <v>4662</v>
      </c>
      <c r="G290">
        <v>1754.25</v>
      </c>
      <c r="H290">
        <v>83</v>
      </c>
      <c r="I290">
        <v>2</v>
      </c>
      <c r="J290">
        <v>0</v>
      </c>
      <c r="K290">
        <v>0</v>
      </c>
      <c r="L290">
        <v>0</v>
      </c>
      <c r="M290">
        <f t="shared" si="20"/>
        <v>0</v>
      </c>
      <c r="N290">
        <f t="shared" si="21"/>
        <v>0</v>
      </c>
      <c r="O290">
        <f t="shared" si="22"/>
        <v>1.7803517803517803</v>
      </c>
    </row>
    <row r="291" spans="1:15" x14ac:dyDescent="0.3">
      <c r="A291">
        <v>290</v>
      </c>
      <c r="B291" s="1">
        <v>44254</v>
      </c>
      <c r="C291" t="s">
        <v>21</v>
      </c>
      <c r="D291" t="s">
        <v>20</v>
      </c>
      <c r="E291">
        <v>127823</v>
      </c>
      <c r="F291">
        <v>40004</v>
      </c>
      <c r="G291">
        <v>1487.24</v>
      </c>
      <c r="H291">
        <v>243</v>
      </c>
      <c r="I291">
        <v>5</v>
      </c>
      <c r="J291">
        <v>0</v>
      </c>
      <c r="K291">
        <v>0</v>
      </c>
      <c r="L291">
        <v>0</v>
      </c>
      <c r="M291">
        <f t="shared" si="20"/>
        <v>0</v>
      </c>
      <c r="N291">
        <f t="shared" si="21"/>
        <v>0</v>
      </c>
      <c r="O291">
        <f t="shared" si="22"/>
        <v>0.60743925607439253</v>
      </c>
    </row>
    <row r="292" spans="1:15" x14ac:dyDescent="0.3">
      <c r="A292">
        <v>291</v>
      </c>
      <c r="B292" s="1">
        <v>44254</v>
      </c>
      <c r="C292" t="s">
        <v>22</v>
      </c>
      <c r="D292" t="s">
        <v>23</v>
      </c>
      <c r="E292">
        <v>10934</v>
      </c>
      <c r="F292">
        <v>44000</v>
      </c>
      <c r="G292">
        <v>5721.83</v>
      </c>
      <c r="H292">
        <v>440</v>
      </c>
      <c r="I292">
        <v>15</v>
      </c>
      <c r="J292">
        <v>3</v>
      </c>
      <c r="K292">
        <v>23943</v>
      </c>
      <c r="L292">
        <f t="shared" si="23"/>
        <v>1907.2766666666666</v>
      </c>
      <c r="M292">
        <f t="shared" si="20"/>
        <v>418.4500413329302</v>
      </c>
      <c r="N292">
        <f t="shared" si="21"/>
        <v>20</v>
      </c>
      <c r="O292">
        <f t="shared" si="22"/>
        <v>1</v>
      </c>
    </row>
    <row r="293" spans="1:15" x14ac:dyDescent="0.3">
      <c r="A293">
        <v>292</v>
      </c>
      <c r="B293" s="1">
        <v>44254</v>
      </c>
      <c r="C293" t="s">
        <v>24</v>
      </c>
      <c r="D293" t="s">
        <v>17</v>
      </c>
      <c r="E293">
        <v>9034945</v>
      </c>
      <c r="F293">
        <v>44112</v>
      </c>
      <c r="G293">
        <v>1832.16</v>
      </c>
      <c r="H293">
        <v>275</v>
      </c>
      <c r="I293">
        <v>6</v>
      </c>
      <c r="J293">
        <v>1</v>
      </c>
      <c r="K293">
        <v>5981</v>
      </c>
      <c r="L293">
        <f t="shared" si="23"/>
        <v>1832.16</v>
      </c>
      <c r="M293">
        <f t="shared" si="20"/>
        <v>326.44528862108115</v>
      </c>
      <c r="N293">
        <f t="shared" si="21"/>
        <v>16.666666666666664</v>
      </c>
      <c r="O293">
        <f t="shared" si="22"/>
        <v>0.62341313021400069</v>
      </c>
    </row>
    <row r="294" spans="1:15" x14ac:dyDescent="0.3">
      <c r="A294">
        <v>293</v>
      </c>
      <c r="B294" s="1">
        <v>44254</v>
      </c>
      <c r="C294" t="s">
        <v>25</v>
      </c>
      <c r="D294" t="s">
        <v>17</v>
      </c>
      <c r="E294">
        <v>983498</v>
      </c>
      <c r="F294">
        <v>78799</v>
      </c>
      <c r="G294">
        <v>254.14</v>
      </c>
      <c r="H294">
        <v>503</v>
      </c>
      <c r="I294">
        <v>3</v>
      </c>
      <c r="J294">
        <v>0</v>
      </c>
      <c r="K294">
        <v>0</v>
      </c>
      <c r="L294">
        <v>0</v>
      </c>
      <c r="M294">
        <f t="shared" si="20"/>
        <v>0</v>
      </c>
      <c r="N294">
        <f t="shared" si="21"/>
        <v>0</v>
      </c>
      <c r="O294">
        <f t="shared" si="22"/>
        <v>0.63833297376870257</v>
      </c>
    </row>
    <row r="295" spans="1:15" x14ac:dyDescent="0.3">
      <c r="A295">
        <v>294</v>
      </c>
      <c r="B295" s="1">
        <v>44254</v>
      </c>
      <c r="C295" t="s">
        <v>26</v>
      </c>
      <c r="D295" t="s">
        <v>17</v>
      </c>
      <c r="E295">
        <v>4387490</v>
      </c>
      <c r="F295">
        <v>667</v>
      </c>
      <c r="G295">
        <v>200.42</v>
      </c>
      <c r="H295">
        <v>20</v>
      </c>
      <c r="I295">
        <v>0</v>
      </c>
      <c r="J295">
        <v>0</v>
      </c>
      <c r="K295">
        <v>0</v>
      </c>
      <c r="L295">
        <v>0</v>
      </c>
      <c r="M295">
        <f t="shared" si="20"/>
        <v>0</v>
      </c>
      <c r="N295">
        <v>0</v>
      </c>
      <c r="O295">
        <f t="shared" si="22"/>
        <v>2.9985007496251872</v>
      </c>
    </row>
    <row r="296" spans="1:15" x14ac:dyDescent="0.3">
      <c r="A296">
        <v>295</v>
      </c>
      <c r="B296" s="1">
        <v>44254</v>
      </c>
      <c r="C296" t="s">
        <v>27</v>
      </c>
      <c r="D296" t="s">
        <v>17</v>
      </c>
      <c r="E296">
        <v>544756</v>
      </c>
      <c r="F296">
        <v>13693</v>
      </c>
      <c r="G296">
        <v>3098.45</v>
      </c>
      <c r="H296">
        <v>115</v>
      </c>
      <c r="I296">
        <v>2</v>
      </c>
      <c r="J296">
        <v>0</v>
      </c>
      <c r="K296">
        <v>0</v>
      </c>
      <c r="L296">
        <v>0</v>
      </c>
      <c r="M296">
        <f t="shared" si="20"/>
        <v>0</v>
      </c>
      <c r="N296">
        <f t="shared" si="21"/>
        <v>0</v>
      </c>
      <c r="O296">
        <f t="shared" si="22"/>
        <v>0.83984517636748712</v>
      </c>
    </row>
    <row r="297" spans="1:15" x14ac:dyDescent="0.3">
      <c r="A297">
        <v>296</v>
      </c>
      <c r="B297" s="1">
        <v>44254</v>
      </c>
      <c r="C297" t="s">
        <v>28</v>
      </c>
      <c r="D297" t="s">
        <v>23</v>
      </c>
      <c r="E297">
        <v>374754</v>
      </c>
      <c r="F297">
        <v>24018</v>
      </c>
      <c r="G297">
        <v>3524.08</v>
      </c>
      <c r="H297">
        <v>298</v>
      </c>
      <c r="I297">
        <v>6</v>
      </c>
      <c r="J297">
        <v>1</v>
      </c>
      <c r="K297">
        <v>4661</v>
      </c>
      <c r="L297">
        <v>0</v>
      </c>
      <c r="M297">
        <f t="shared" si="20"/>
        <v>132.26146966016663</v>
      </c>
      <c r="N297">
        <f t="shared" si="21"/>
        <v>16.666666666666664</v>
      </c>
      <c r="O297">
        <f t="shared" si="22"/>
        <v>1.2407361145807312</v>
      </c>
    </row>
    <row r="298" spans="1:15" x14ac:dyDescent="0.3">
      <c r="A298">
        <v>297</v>
      </c>
      <c r="B298" s="1">
        <v>44254</v>
      </c>
      <c r="C298" t="s">
        <v>29</v>
      </c>
      <c r="D298" t="s">
        <v>30</v>
      </c>
      <c r="E298">
        <v>39889</v>
      </c>
      <c r="F298">
        <v>182546</v>
      </c>
      <c r="G298">
        <v>2791.06</v>
      </c>
      <c r="H298">
        <v>426</v>
      </c>
      <c r="I298">
        <v>9</v>
      </c>
      <c r="J298">
        <v>1</v>
      </c>
      <c r="K298">
        <v>3981</v>
      </c>
      <c r="L298">
        <v>0</v>
      </c>
      <c r="M298">
        <f t="shared" si="20"/>
        <v>142.63398135475413</v>
      </c>
      <c r="N298">
        <f t="shared" si="21"/>
        <v>11.111111111111111</v>
      </c>
      <c r="O298">
        <f t="shared" si="22"/>
        <v>0.23336583655626528</v>
      </c>
    </row>
    <row r="299" spans="1:15" x14ac:dyDescent="0.3">
      <c r="A299">
        <v>298</v>
      </c>
      <c r="B299" s="1">
        <v>44255</v>
      </c>
      <c r="C299" t="s">
        <v>16</v>
      </c>
      <c r="D299" t="s">
        <v>17</v>
      </c>
      <c r="E299">
        <v>349043</v>
      </c>
      <c r="F299">
        <v>97200</v>
      </c>
      <c r="G299">
        <v>6440.5</v>
      </c>
      <c r="H299">
        <v>486</v>
      </c>
      <c r="I299">
        <v>11</v>
      </c>
      <c r="J299">
        <v>1</v>
      </c>
      <c r="K299">
        <v>4981</v>
      </c>
      <c r="L299">
        <f t="shared" si="23"/>
        <v>6440.5</v>
      </c>
      <c r="M299">
        <f t="shared" si="20"/>
        <v>77.338715938203549</v>
      </c>
      <c r="N299">
        <f t="shared" si="21"/>
        <v>9.0909090909090917</v>
      </c>
      <c r="O299">
        <f t="shared" si="22"/>
        <v>0.5</v>
      </c>
    </row>
    <row r="300" spans="1:15" x14ac:dyDescent="0.3">
      <c r="A300">
        <v>299</v>
      </c>
      <c r="B300" s="1">
        <v>44255</v>
      </c>
      <c r="C300" t="s">
        <v>18</v>
      </c>
      <c r="D300" t="s">
        <v>17</v>
      </c>
      <c r="E300">
        <v>348934</v>
      </c>
      <c r="F300">
        <v>132200</v>
      </c>
      <c r="G300">
        <v>8665.5499999999993</v>
      </c>
      <c r="H300">
        <v>661</v>
      </c>
      <c r="I300">
        <v>13</v>
      </c>
      <c r="J300">
        <v>1</v>
      </c>
      <c r="K300">
        <v>5509</v>
      </c>
      <c r="L300">
        <f t="shared" si="23"/>
        <v>8665.5499999999993</v>
      </c>
      <c r="M300">
        <f t="shared" si="20"/>
        <v>63.573575826116056</v>
      </c>
      <c r="N300">
        <f t="shared" si="21"/>
        <v>7.6923076923076925</v>
      </c>
      <c r="O300">
        <f t="shared" si="22"/>
        <v>0.5</v>
      </c>
    </row>
    <row r="301" spans="1:15" x14ac:dyDescent="0.3">
      <c r="A301">
        <v>300</v>
      </c>
      <c r="B301" s="1">
        <v>44255</v>
      </c>
      <c r="C301" t="s">
        <v>19</v>
      </c>
      <c r="D301" t="s">
        <v>20</v>
      </c>
      <c r="E301">
        <v>89459845</v>
      </c>
      <c r="F301">
        <v>11554</v>
      </c>
      <c r="G301">
        <v>3529.73</v>
      </c>
      <c r="H301">
        <v>187</v>
      </c>
      <c r="I301">
        <v>5</v>
      </c>
      <c r="J301">
        <v>1</v>
      </c>
      <c r="K301">
        <v>8714</v>
      </c>
      <c r="L301">
        <f t="shared" si="23"/>
        <v>3529.73</v>
      </c>
      <c r="M301">
        <f t="shared" si="20"/>
        <v>246.87440682431802</v>
      </c>
      <c r="N301">
        <f t="shared" si="21"/>
        <v>20</v>
      </c>
      <c r="O301">
        <f t="shared" si="22"/>
        <v>1.6184871040332351</v>
      </c>
    </row>
    <row r="302" spans="1:15" x14ac:dyDescent="0.3">
      <c r="A302">
        <v>301</v>
      </c>
      <c r="B302" s="1">
        <v>44255</v>
      </c>
      <c r="C302" t="s">
        <v>21</v>
      </c>
      <c r="D302" t="s">
        <v>20</v>
      </c>
      <c r="E302">
        <v>127823</v>
      </c>
      <c r="F302">
        <v>55625</v>
      </c>
      <c r="G302">
        <v>384.75</v>
      </c>
      <c r="H302">
        <v>487</v>
      </c>
      <c r="I302">
        <v>1</v>
      </c>
      <c r="J302">
        <v>0</v>
      </c>
      <c r="K302">
        <v>0</v>
      </c>
      <c r="L302">
        <v>0</v>
      </c>
      <c r="M302">
        <f t="shared" si="20"/>
        <v>0</v>
      </c>
      <c r="N302">
        <f t="shared" si="21"/>
        <v>0</v>
      </c>
      <c r="O302">
        <f t="shared" si="22"/>
        <v>0.87550561797752802</v>
      </c>
    </row>
    <row r="303" spans="1:15" x14ac:dyDescent="0.3">
      <c r="A303">
        <v>302</v>
      </c>
      <c r="B303" s="1">
        <v>44255</v>
      </c>
      <c r="C303" t="s">
        <v>22</v>
      </c>
      <c r="D303" t="s">
        <v>23</v>
      </c>
      <c r="E303">
        <v>10934</v>
      </c>
      <c r="F303">
        <v>129025</v>
      </c>
      <c r="G303">
        <v>9892.77</v>
      </c>
      <c r="H303">
        <v>909</v>
      </c>
      <c r="I303">
        <v>21</v>
      </c>
      <c r="J303">
        <v>5</v>
      </c>
      <c r="K303">
        <v>37450</v>
      </c>
      <c r="L303">
        <f t="shared" si="23"/>
        <v>1978.5540000000001</v>
      </c>
      <c r="M303">
        <f t="shared" si="20"/>
        <v>378.55929128039969</v>
      </c>
      <c r="N303">
        <f t="shared" si="21"/>
        <v>23.809523809523807</v>
      </c>
      <c r="O303">
        <f t="shared" si="22"/>
        <v>0.70451462894787831</v>
      </c>
    </row>
    <row r="304" spans="1:15" x14ac:dyDescent="0.3">
      <c r="A304">
        <v>303</v>
      </c>
      <c r="B304" s="1">
        <v>44255</v>
      </c>
      <c r="C304" t="s">
        <v>24</v>
      </c>
      <c r="D304" t="s">
        <v>17</v>
      </c>
      <c r="E304">
        <v>9034945</v>
      </c>
      <c r="F304">
        <v>63566</v>
      </c>
      <c r="G304">
        <v>4950.74</v>
      </c>
      <c r="H304">
        <v>546</v>
      </c>
      <c r="I304">
        <v>12</v>
      </c>
      <c r="J304">
        <v>1</v>
      </c>
      <c r="K304">
        <v>5981</v>
      </c>
      <c r="L304">
        <f t="shared" si="23"/>
        <v>4950.74</v>
      </c>
      <c r="M304">
        <f t="shared" si="20"/>
        <v>120.81022231020009</v>
      </c>
      <c r="N304">
        <f t="shared" si="21"/>
        <v>8.3333333333333321</v>
      </c>
      <c r="O304">
        <f t="shared" si="22"/>
        <v>0.85894975301261689</v>
      </c>
    </row>
    <row r="305" spans="1:15" x14ac:dyDescent="0.3">
      <c r="A305">
        <v>304</v>
      </c>
      <c r="B305" s="1">
        <v>44255</v>
      </c>
      <c r="C305" t="s">
        <v>25</v>
      </c>
      <c r="D305" t="s">
        <v>17</v>
      </c>
      <c r="E305">
        <v>983498</v>
      </c>
      <c r="F305">
        <v>775780</v>
      </c>
      <c r="G305">
        <v>760.75</v>
      </c>
      <c r="H305">
        <v>1024</v>
      </c>
      <c r="I305">
        <v>4</v>
      </c>
      <c r="J305">
        <v>0</v>
      </c>
      <c r="K305">
        <v>0</v>
      </c>
      <c r="L305">
        <v>0</v>
      </c>
      <c r="M305">
        <f t="shared" si="20"/>
        <v>0</v>
      </c>
      <c r="N305">
        <f t="shared" si="21"/>
        <v>0</v>
      </c>
      <c r="O305">
        <f t="shared" si="22"/>
        <v>0.13199618448529221</v>
      </c>
    </row>
    <row r="306" spans="1:15" x14ac:dyDescent="0.3">
      <c r="A306">
        <v>305</v>
      </c>
      <c r="B306" s="1">
        <v>44255</v>
      </c>
      <c r="C306" t="s">
        <v>26</v>
      </c>
      <c r="D306" t="s">
        <v>17</v>
      </c>
      <c r="E306">
        <v>4387490</v>
      </c>
      <c r="F306">
        <v>1933</v>
      </c>
      <c r="G306">
        <v>224.81</v>
      </c>
      <c r="H306">
        <v>58</v>
      </c>
      <c r="I306">
        <v>0</v>
      </c>
      <c r="J306">
        <v>0</v>
      </c>
      <c r="K306">
        <v>0</v>
      </c>
      <c r="L306">
        <v>0</v>
      </c>
      <c r="M306">
        <f t="shared" si="20"/>
        <v>0</v>
      </c>
      <c r="N306">
        <v>0</v>
      </c>
      <c r="O306">
        <f t="shared" si="22"/>
        <v>3.0005173305742368</v>
      </c>
    </row>
    <row r="307" spans="1:15" x14ac:dyDescent="0.3">
      <c r="A307">
        <v>306</v>
      </c>
      <c r="B307" s="1">
        <v>44255</v>
      </c>
      <c r="C307" t="s">
        <v>27</v>
      </c>
      <c r="D307" t="s">
        <v>17</v>
      </c>
      <c r="E307">
        <v>544756</v>
      </c>
      <c r="F307">
        <v>25840</v>
      </c>
      <c r="G307">
        <v>6844.8</v>
      </c>
      <c r="H307">
        <v>248</v>
      </c>
      <c r="I307">
        <v>5</v>
      </c>
      <c r="J307">
        <v>1</v>
      </c>
      <c r="K307">
        <v>1491</v>
      </c>
      <c r="L307">
        <f t="shared" si="23"/>
        <v>6844.8</v>
      </c>
      <c r="M307">
        <f t="shared" si="20"/>
        <v>21.782959326788216</v>
      </c>
      <c r="N307">
        <f t="shared" si="21"/>
        <v>20</v>
      </c>
      <c r="O307">
        <f t="shared" si="22"/>
        <v>0.95975232198142413</v>
      </c>
    </row>
    <row r="308" spans="1:15" x14ac:dyDescent="0.3">
      <c r="A308">
        <v>307</v>
      </c>
      <c r="B308" s="1">
        <v>44255</v>
      </c>
      <c r="C308" t="s">
        <v>28</v>
      </c>
      <c r="D308" t="s">
        <v>23</v>
      </c>
      <c r="E308">
        <v>374754</v>
      </c>
      <c r="F308">
        <v>94058</v>
      </c>
      <c r="G308">
        <v>4845.6499999999996</v>
      </c>
      <c r="H308">
        <v>594</v>
      </c>
      <c r="I308">
        <v>12</v>
      </c>
      <c r="J308">
        <v>1</v>
      </c>
      <c r="K308">
        <v>5008</v>
      </c>
      <c r="L308">
        <f>G308/J308</f>
        <v>4845.6499999999996</v>
      </c>
      <c r="M308">
        <f t="shared" si="20"/>
        <v>103.35042770319771</v>
      </c>
      <c r="N308">
        <f t="shared" si="21"/>
        <v>8.3333333333333321</v>
      </c>
      <c r="O308">
        <f t="shared" si="22"/>
        <v>0.63152522911395093</v>
      </c>
    </row>
    <row r="309" spans="1:15" x14ac:dyDescent="0.3">
      <c r="A309">
        <v>308</v>
      </c>
      <c r="B309" s="1">
        <v>44255</v>
      </c>
      <c r="C309" t="s">
        <v>29</v>
      </c>
      <c r="D309" t="s">
        <v>30</v>
      </c>
      <c r="E309">
        <v>39889</v>
      </c>
      <c r="F309">
        <v>8490000</v>
      </c>
      <c r="G309">
        <v>6822.62</v>
      </c>
      <c r="H309">
        <v>849</v>
      </c>
      <c r="I309">
        <v>18</v>
      </c>
      <c r="J309">
        <v>2</v>
      </c>
      <c r="K309">
        <v>7030</v>
      </c>
      <c r="L309">
        <f t="shared" ref="L309" si="24">G309/J309</f>
        <v>3411.31</v>
      </c>
      <c r="M309">
        <f t="shared" si="20"/>
        <v>103.03959475978436</v>
      </c>
      <c r="N309">
        <f t="shared" si="21"/>
        <v>11.111111111111111</v>
      </c>
      <c r="O309">
        <f t="shared" si="22"/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Akhila Thotte</dc:creator>
  <cp:lastModifiedBy>Akhila Thotte</cp:lastModifiedBy>
  <dcterms:created xsi:type="dcterms:W3CDTF">2026-06-24T14:05:06Z</dcterms:created>
  <dcterms:modified xsi:type="dcterms:W3CDTF">2026-06-24T14:05:35Z</dcterms:modified>
</cp:coreProperties>
</file>